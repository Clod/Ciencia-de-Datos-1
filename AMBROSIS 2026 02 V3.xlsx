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G:\Mi unidad\EMPRESAS\ARPENTA VALORES SA\2026\022026\RETENCIONES GANANCIAS\"/>
    </mc:Choice>
  </mc:AlternateContent>
  <xr:revisionPtr revIDLastSave="0" documentId="8_{84D2BEA2-84FD-4E58-99E5-FF5F704C82DB}" xr6:coauthVersionLast="47" xr6:coauthVersionMax="47" xr10:uidLastSave="{00000000-0000-0000-0000-000000000000}"/>
  <bookViews>
    <workbookView xWindow="-110" yWindow="-110" windowWidth="19420" windowHeight="10300" xr2:uid="{00000000-000D-0000-FFFF-FFFF00000000}"/>
  </bookViews>
  <sheets>
    <sheet name="012026" sheetId="2" r:id="rId1"/>
    <sheet name="Escalas" sheetId="3" r:id="rId2"/>
    <sheet name="Tablas "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2" l="1"/>
  <c r="B47" i="2"/>
  <c r="C47" i="2" s="1"/>
  <c r="D47" i="2" s="1"/>
  <c r="E47" i="2" s="1"/>
  <c r="F47" i="2" s="1"/>
  <c r="G47" i="2" s="1"/>
  <c r="H47" i="2" s="1"/>
  <c r="I47" i="2" s="1"/>
  <c r="J47" i="2" s="1"/>
  <c r="K47" i="2" s="1"/>
  <c r="L47" i="2" s="1"/>
  <c r="M47" i="2" s="1"/>
  <c r="C27" i="2"/>
  <c r="D27" i="2" s="1"/>
  <c r="E27" i="2" s="1"/>
  <c r="F27" i="2" s="1"/>
  <c r="M6" i="4"/>
  <c r="L6" i="4"/>
  <c r="K6" i="4"/>
  <c r="J6" i="4"/>
  <c r="I6" i="4"/>
  <c r="H6" i="4"/>
  <c r="G6" i="4"/>
  <c r="F6" i="4"/>
  <c r="E6" i="4"/>
  <c r="M5" i="4"/>
  <c r="L5" i="4"/>
  <c r="K5" i="4"/>
  <c r="J5" i="4"/>
  <c r="I5" i="4"/>
  <c r="H5" i="4"/>
  <c r="G5" i="4"/>
  <c r="F5" i="4"/>
  <c r="E5" i="4"/>
  <c r="M4" i="4"/>
  <c r="L4" i="4"/>
  <c r="K4" i="4"/>
  <c r="J4" i="4"/>
  <c r="I4" i="4"/>
  <c r="H4" i="4"/>
  <c r="G4" i="4"/>
  <c r="F4" i="4"/>
  <c r="E4" i="4"/>
  <c r="E3" i="4"/>
  <c r="F3" i="4"/>
  <c r="G3" i="4"/>
  <c r="H3" i="4"/>
  <c r="I3" i="4"/>
  <c r="J3" i="4"/>
  <c r="K3" i="4"/>
  <c r="L3" i="4"/>
  <c r="M3" i="4"/>
  <c r="F25" i="4"/>
  <c r="E25" i="4"/>
  <c r="F24" i="4"/>
  <c r="E24" i="4"/>
  <c r="F23" i="4"/>
  <c r="E23" i="4"/>
  <c r="F22" i="4"/>
  <c r="E22" i="4"/>
  <c r="F21" i="4"/>
  <c r="E21" i="4"/>
  <c r="F20" i="4"/>
  <c r="E20" i="4"/>
  <c r="F19" i="4"/>
  <c r="E19" i="4"/>
  <c r="F18" i="4"/>
  <c r="E18" i="4"/>
  <c r="F17" i="4"/>
  <c r="E17" i="4"/>
  <c r="F16" i="4"/>
  <c r="E16" i="4"/>
  <c r="F15" i="4"/>
  <c r="E15" i="4"/>
  <c r="F14" i="4"/>
  <c r="E14" i="4"/>
  <c r="L10" i="4"/>
  <c r="L11" i="4" s="1"/>
  <c r="M9" i="4"/>
  <c r="L9" i="4"/>
  <c r="I9" i="4"/>
  <c r="H9" i="4"/>
  <c r="G9" i="4"/>
  <c r="F9" i="4"/>
  <c r="E9" i="4"/>
  <c r="D9" i="4"/>
  <c r="C9" i="4"/>
  <c r="B9" i="4"/>
  <c r="M8" i="4"/>
  <c r="L8" i="4"/>
  <c r="I8" i="4"/>
  <c r="H8" i="4"/>
  <c r="G8" i="4"/>
  <c r="F8" i="4"/>
  <c r="E8" i="4"/>
  <c r="D8" i="4"/>
  <c r="C8" i="4"/>
  <c r="B8" i="4"/>
  <c r="M7" i="4"/>
  <c r="L7" i="4"/>
  <c r="I7" i="4"/>
  <c r="H7" i="4"/>
  <c r="G7" i="4"/>
  <c r="F7" i="4"/>
  <c r="E7" i="4"/>
  <c r="D7" i="4"/>
  <c r="C7" i="4"/>
  <c r="B7" i="4"/>
  <c r="D6" i="4"/>
  <c r="C6" i="4"/>
  <c r="B6" i="4"/>
  <c r="P5" i="4"/>
  <c r="P6" i="4" s="1"/>
  <c r="D5" i="4"/>
  <c r="C5" i="4"/>
  <c r="B5" i="4"/>
  <c r="D4" i="4"/>
  <c r="C4" i="4"/>
  <c r="B4" i="4"/>
  <c r="D3" i="4"/>
  <c r="C3" i="4"/>
  <c r="B3" i="4"/>
  <c r="E28" i="3"/>
  <c r="E38" i="3" s="1"/>
  <c r="E48" i="3" s="1"/>
  <c r="E58" i="3" s="1"/>
  <c r="E68" i="3" s="1"/>
  <c r="E78" i="3" s="1"/>
  <c r="E88" i="3" s="1"/>
  <c r="E98" i="3" s="1"/>
  <c r="E108" i="3" s="1"/>
  <c r="E118" i="3" s="1"/>
  <c r="E128" i="3" s="1"/>
  <c r="C28" i="3"/>
  <c r="C38" i="3" s="1"/>
  <c r="C48" i="3" s="1"/>
  <c r="C58" i="3" s="1"/>
  <c r="C68" i="3" s="1"/>
  <c r="C78" i="3" s="1"/>
  <c r="C88" i="3" s="1"/>
  <c r="C98" i="3" s="1"/>
  <c r="C108" i="3" s="1"/>
  <c r="C118" i="3" s="1"/>
  <c r="C128" i="3" s="1"/>
  <c r="B28" i="3"/>
  <c r="A28" i="3"/>
  <c r="N104" i="2"/>
  <c r="N102" i="2"/>
  <c r="N101" i="2"/>
  <c r="H100" i="2"/>
  <c r="N100" i="2" s="1"/>
  <c r="N93" i="2"/>
  <c r="N89" i="2"/>
  <c r="A85" i="2"/>
  <c r="N81" i="2"/>
  <c r="N80" i="2"/>
  <c r="N79" i="2"/>
  <c r="N78" i="2"/>
  <c r="N75" i="2"/>
  <c r="N74" i="2"/>
  <c r="N73" i="2"/>
  <c r="M72" i="2"/>
  <c r="N72" i="2" s="1"/>
  <c r="L72" i="2"/>
  <c r="K72" i="2"/>
  <c r="J72" i="2"/>
  <c r="I72" i="2"/>
  <c r="H72" i="2"/>
  <c r="G72" i="2"/>
  <c r="F72" i="2"/>
  <c r="E72" i="2"/>
  <c r="D72" i="2"/>
  <c r="C72" i="2"/>
  <c r="B72" i="2"/>
  <c r="M71" i="2"/>
  <c r="L71" i="2"/>
  <c r="K71" i="2"/>
  <c r="J71" i="2"/>
  <c r="I71" i="2"/>
  <c r="H71" i="2"/>
  <c r="G71" i="2"/>
  <c r="F71" i="2"/>
  <c r="E71" i="2"/>
  <c r="D71" i="2"/>
  <c r="C71" i="2"/>
  <c r="B71" i="2"/>
  <c r="N70" i="2"/>
  <c r="L61" i="2"/>
  <c r="K61" i="2"/>
  <c r="J61" i="2"/>
  <c r="I61" i="2"/>
  <c r="H61" i="2"/>
  <c r="F61" i="2"/>
  <c r="E61" i="2"/>
  <c r="D61" i="2"/>
  <c r="B61" i="2"/>
  <c r="N48" i="2"/>
  <c r="N46" i="2"/>
  <c r="B45" i="2"/>
  <c r="N44" i="2"/>
  <c r="N42" i="2"/>
  <c r="I41" i="2"/>
  <c r="H41" i="2"/>
  <c r="F41" i="2"/>
  <c r="E41" i="2"/>
  <c r="D41" i="2"/>
  <c r="B41" i="2"/>
  <c r="M40" i="2"/>
  <c r="M41" i="2" s="1"/>
  <c r="L40" i="2"/>
  <c r="L41" i="2" s="1"/>
  <c r="K40" i="2"/>
  <c r="K41" i="2" s="1"/>
  <c r="J40" i="2"/>
  <c r="J41" i="2" s="1"/>
  <c r="I40" i="2"/>
  <c r="H40" i="2"/>
  <c r="G40" i="2"/>
  <c r="G41" i="2" s="1"/>
  <c r="F40" i="2"/>
  <c r="E40" i="2"/>
  <c r="D40" i="2"/>
  <c r="B40" i="2"/>
  <c r="M39" i="2"/>
  <c r="L39" i="2"/>
  <c r="K39" i="2"/>
  <c r="J39" i="2"/>
  <c r="I39" i="2"/>
  <c r="H39" i="2"/>
  <c r="G39" i="2"/>
  <c r="F39" i="2"/>
  <c r="E39" i="2"/>
  <c r="D39" i="2"/>
  <c r="B39" i="2"/>
  <c r="N38" i="2"/>
  <c r="B37" i="2"/>
  <c r="N33" i="2"/>
  <c r="N32" i="2"/>
  <c r="G25" i="2"/>
  <c r="C25" i="2"/>
  <c r="C21" i="2"/>
  <c r="C19" i="2"/>
  <c r="C7" i="2"/>
  <c r="G43" i="2" l="1"/>
  <c r="G57" i="2" s="1"/>
  <c r="K43" i="2"/>
  <c r="K57" i="2" s="1"/>
  <c r="D43" i="2"/>
  <c r="D57" i="2" s="1"/>
  <c r="H43" i="2"/>
  <c r="H57" i="2" s="1"/>
  <c r="L43" i="2"/>
  <c r="I43" i="2"/>
  <c r="I57" i="2" s="1"/>
  <c r="F43" i="2"/>
  <c r="J43" i="2"/>
  <c r="J57" i="2" s="1"/>
  <c r="E43" i="2"/>
  <c r="M43" i="2"/>
  <c r="M57" i="2" s="1"/>
  <c r="F30" i="2"/>
  <c r="F54" i="2" s="1"/>
  <c r="F37" i="2"/>
  <c r="G27" i="2"/>
  <c r="H27" i="2" s="1"/>
  <c r="I27" i="2" s="1"/>
  <c r="C37" i="2"/>
  <c r="C39" i="2"/>
  <c r="C40" i="2"/>
  <c r="C41" i="2" s="1"/>
  <c r="N41" i="2" s="1"/>
  <c r="C30" i="2"/>
  <c r="C61" i="2" s="1"/>
  <c r="G61" i="2" s="1"/>
  <c r="B38" i="3"/>
  <c r="A38" i="3"/>
  <c r="M76" i="2"/>
  <c r="N71" i="2"/>
  <c r="L76" i="2"/>
  <c r="L77" i="2" s="1"/>
  <c r="K76" i="2"/>
  <c r="J76" i="2"/>
  <c r="I76" i="2"/>
  <c r="I77" i="2" s="1"/>
  <c r="H76" i="2"/>
  <c r="G76" i="2"/>
  <c r="F76" i="2"/>
  <c r="F77" i="2" s="1"/>
  <c r="E76" i="2"/>
  <c r="D76" i="2"/>
  <c r="D77" i="2" s="1"/>
  <c r="C76" i="2"/>
  <c r="B76" i="2"/>
  <c r="B77" i="2" s="1"/>
  <c r="C49" i="2"/>
  <c r="B49" i="2"/>
  <c r="B52" i="2"/>
  <c r="C45" i="2"/>
  <c r="D45" i="2" s="1"/>
  <c r="L57" i="2"/>
  <c r="F57" i="2"/>
  <c r="E57" i="2"/>
  <c r="B43" i="2"/>
  <c r="N39" i="2"/>
  <c r="B31" i="2"/>
  <c r="B54" i="2"/>
  <c r="B55" i="2" s="1"/>
  <c r="N28" i="2"/>
  <c r="D30" i="2"/>
  <c r="D31" i="2" s="1"/>
  <c r="D37" i="2"/>
  <c r="M61" i="2"/>
  <c r="F31" i="2" l="1"/>
  <c r="G29" i="2"/>
  <c r="G31" i="2" s="1"/>
  <c r="G37" i="2"/>
  <c r="I37" i="2"/>
  <c r="J27" i="2"/>
  <c r="I30" i="2"/>
  <c r="I54" i="2" s="1"/>
  <c r="C54" i="2"/>
  <c r="N40" i="2"/>
  <c r="C43" i="2"/>
  <c r="C57" i="2" s="1"/>
  <c r="C31" i="2"/>
  <c r="B62" i="2"/>
  <c r="B64" i="2" s="1"/>
  <c r="B48" i="3"/>
  <c r="A48" i="3"/>
  <c r="C52" i="2"/>
  <c r="B57" i="2"/>
  <c r="B59" i="2"/>
  <c r="D49" i="2"/>
  <c r="H30" i="2"/>
  <c r="H54" i="2" s="1"/>
  <c r="H37" i="2"/>
  <c r="E30" i="2"/>
  <c r="E54" i="2" s="1"/>
  <c r="E62" i="2" s="1"/>
  <c r="E37" i="2"/>
  <c r="E45" i="2"/>
  <c r="D52" i="2"/>
  <c r="C55" i="2"/>
  <c r="N76" i="2"/>
  <c r="M77" i="2"/>
  <c r="K77" i="2"/>
  <c r="J77" i="2"/>
  <c r="H77" i="2"/>
  <c r="G77" i="2"/>
  <c r="E77" i="2"/>
  <c r="C77" i="2"/>
  <c r="D54" i="2"/>
  <c r="D62" i="2" s="1"/>
  <c r="D85" i="2" s="1"/>
  <c r="C59" i="2" l="1"/>
  <c r="D59" i="2" s="1"/>
  <c r="E59" i="2" s="1"/>
  <c r="F59" i="2" s="1"/>
  <c r="G59" i="2" s="1"/>
  <c r="H59" i="2" s="1"/>
  <c r="I59" i="2" s="1"/>
  <c r="J59" i="2" s="1"/>
  <c r="K59" i="2" s="1"/>
  <c r="L59" i="2" s="1"/>
  <c r="M59" i="2" s="1"/>
  <c r="K27" i="2"/>
  <c r="J37" i="2"/>
  <c r="J30" i="2"/>
  <c r="C62" i="2"/>
  <c r="C85" i="2" s="1"/>
  <c r="I31" i="2"/>
  <c r="N43" i="2"/>
  <c r="H31" i="2"/>
  <c r="E31" i="2"/>
  <c r="B58" i="3"/>
  <c r="A58" i="3"/>
  <c r="B83" i="2"/>
  <c r="B69" i="2" s="1"/>
  <c r="B84" i="2"/>
  <c r="B85" i="2" s="1"/>
  <c r="B86" i="2" s="1"/>
  <c r="E49" i="2"/>
  <c r="G54" i="2"/>
  <c r="F45" i="2"/>
  <c r="E52" i="2"/>
  <c r="E85" i="2"/>
  <c r="D55" i="2"/>
  <c r="C64" i="2"/>
  <c r="N77" i="2"/>
  <c r="J54" i="2" l="1"/>
  <c r="J31" i="2"/>
  <c r="L27" i="2"/>
  <c r="K30" i="2"/>
  <c r="K31" i="2" s="1"/>
  <c r="K37" i="2"/>
  <c r="D64" i="2"/>
  <c r="E55" i="2"/>
  <c r="B68" i="3"/>
  <c r="A68" i="3"/>
  <c r="B92" i="2"/>
  <c r="B94" i="2" s="1"/>
  <c r="B90" i="2"/>
  <c r="B91" i="2"/>
  <c r="F49" i="2"/>
  <c r="F62" i="2"/>
  <c r="G45" i="2"/>
  <c r="F52" i="2"/>
  <c r="C84" i="2"/>
  <c r="C83" i="2"/>
  <c r="M27" i="2" l="1"/>
  <c r="L30" i="2"/>
  <c r="L54" i="2" s="1"/>
  <c r="L37" i="2"/>
  <c r="K54" i="2"/>
  <c r="D83" i="2"/>
  <c r="D84" i="2"/>
  <c r="E64" i="2"/>
  <c r="F55" i="2"/>
  <c r="B95" i="2"/>
  <c r="B97" i="2" s="1"/>
  <c r="B103" i="2" s="1"/>
  <c r="B78" i="3"/>
  <c r="B88" i="3" s="1"/>
  <c r="B98" i="3" s="1"/>
  <c r="B108" i="3" s="1"/>
  <c r="B118" i="3" s="1"/>
  <c r="B128" i="3" s="1"/>
  <c r="A78" i="3"/>
  <c r="A88" i="3" s="1"/>
  <c r="A98" i="3" s="1"/>
  <c r="A108" i="3" s="1"/>
  <c r="A118" i="3" s="1"/>
  <c r="A128" i="3" s="1"/>
  <c r="G62" i="2"/>
  <c r="G85" i="2" s="1"/>
  <c r="G49" i="2"/>
  <c r="F85" i="2"/>
  <c r="H45" i="2"/>
  <c r="G52" i="2"/>
  <c r="C86" i="2"/>
  <c r="C69" i="2"/>
  <c r="B99" i="2" l="1"/>
  <c r="N30" i="2"/>
  <c r="M37" i="2"/>
  <c r="N37" i="2" s="1"/>
  <c r="M29" i="2"/>
  <c r="N27" i="2"/>
  <c r="L31" i="2"/>
  <c r="D69" i="2"/>
  <c r="D86" i="2"/>
  <c r="D90" i="2" s="1"/>
  <c r="E83" i="2"/>
  <c r="E84" i="2"/>
  <c r="G55" i="2"/>
  <c r="F64" i="2"/>
  <c r="C98" i="2"/>
  <c r="H62" i="2"/>
  <c r="H49" i="2"/>
  <c r="H52" i="2"/>
  <c r="I45" i="2"/>
  <c r="C91" i="2"/>
  <c r="C92" i="2"/>
  <c r="C94" i="2" s="1"/>
  <c r="C90" i="2"/>
  <c r="M31" i="2" l="1"/>
  <c r="N31" i="2" s="1"/>
  <c r="N55" i="2"/>
  <c r="N29" i="2"/>
  <c r="M54" i="2"/>
  <c r="D92" i="2"/>
  <c r="D94" i="2" s="1"/>
  <c r="D91" i="2"/>
  <c r="C95" i="2"/>
  <c r="C97" i="2" s="1"/>
  <c r="C103" i="2" s="1"/>
  <c r="E86" i="2"/>
  <c r="E69" i="2"/>
  <c r="N58" i="2"/>
  <c r="G64" i="2"/>
  <c r="H55" i="2"/>
  <c r="F83" i="2"/>
  <c r="F84" i="2"/>
  <c r="H85" i="2"/>
  <c r="I49" i="2"/>
  <c r="I62" i="2"/>
  <c r="J45" i="2"/>
  <c r="I52" i="2"/>
  <c r="D95" i="2" l="1"/>
  <c r="D97" i="2" s="1"/>
  <c r="E92" i="2"/>
  <c r="E94" i="2" s="1"/>
  <c r="E91" i="2"/>
  <c r="E90" i="2"/>
  <c r="G84" i="2"/>
  <c r="G83" i="2"/>
  <c r="H64" i="2"/>
  <c r="I55" i="2"/>
  <c r="F86" i="2"/>
  <c r="F69" i="2"/>
  <c r="J62" i="2"/>
  <c r="J85" i="2" s="1"/>
  <c r="J49" i="2"/>
  <c r="J52" i="2"/>
  <c r="K45" i="2"/>
  <c r="C99" i="2"/>
  <c r="I85" i="2"/>
  <c r="E95" i="2" l="1"/>
  <c r="E97" i="2" s="1"/>
  <c r="G86" i="2"/>
  <c r="G69" i="2"/>
  <c r="H84" i="2"/>
  <c r="H83" i="2"/>
  <c r="I64" i="2"/>
  <c r="J55" i="2"/>
  <c r="F91" i="2"/>
  <c r="F92" i="2"/>
  <c r="F94" i="2" s="1"/>
  <c r="F90" i="2"/>
  <c r="K49" i="2"/>
  <c r="K62" i="2"/>
  <c r="L45" i="2"/>
  <c r="K52" i="2"/>
  <c r="D103" i="2"/>
  <c r="D98" i="2"/>
  <c r="D99" i="2" l="1"/>
  <c r="G92" i="2"/>
  <c r="G94" i="2" s="1"/>
  <c r="G91" i="2"/>
  <c r="G90" i="2"/>
  <c r="H86" i="2"/>
  <c r="H69" i="2"/>
  <c r="I83" i="2"/>
  <c r="I84" i="2"/>
  <c r="J64" i="2"/>
  <c r="K55" i="2"/>
  <c r="F95" i="2"/>
  <c r="F97" i="2" s="1"/>
  <c r="K85" i="2"/>
  <c r="L49" i="2"/>
  <c r="L62" i="2"/>
  <c r="M45" i="2"/>
  <c r="L52" i="2"/>
  <c r="E103" i="2"/>
  <c r="E99" i="2" s="1"/>
  <c r="E98" i="2"/>
  <c r="G95" i="2" l="1"/>
  <c r="G97" i="2" s="1"/>
  <c r="H91" i="2"/>
  <c r="H92" i="2"/>
  <c r="H94" i="2" s="1"/>
  <c r="H90" i="2"/>
  <c r="I69" i="2"/>
  <c r="I86" i="2"/>
  <c r="J84" i="2"/>
  <c r="J83" i="2"/>
  <c r="K64" i="2"/>
  <c r="L55" i="2"/>
  <c r="N47" i="2"/>
  <c r="M49" i="2"/>
  <c r="N49" i="2" s="1"/>
  <c r="M62" i="2"/>
  <c r="N45" i="2"/>
  <c r="M52" i="2"/>
  <c r="N52" i="2" s="1"/>
  <c r="F103" i="2"/>
  <c r="F99" i="2" s="1"/>
  <c r="F98" i="2"/>
  <c r="L85" i="2"/>
  <c r="M85" i="2" l="1"/>
  <c r="N62" i="2"/>
  <c r="N85" i="2" s="1"/>
  <c r="I92" i="2"/>
  <c r="I94" i="2" s="1"/>
  <c r="I90" i="2"/>
  <c r="I91" i="2"/>
  <c r="J86" i="2"/>
  <c r="J69" i="2"/>
  <c r="K84" i="2"/>
  <c r="K83" i="2"/>
  <c r="L64" i="2"/>
  <c r="M55" i="2"/>
  <c r="M64" i="2" s="1"/>
  <c r="N64" i="2" s="1"/>
  <c r="H95" i="2"/>
  <c r="H97" i="2" s="1"/>
  <c r="G103" i="2"/>
  <c r="G99" i="2" s="1"/>
  <c r="G98" i="2"/>
  <c r="M84" i="2" l="1"/>
  <c r="M83" i="2"/>
  <c r="J91" i="2"/>
  <c r="J92" i="2"/>
  <c r="J94" i="2" s="1"/>
  <c r="J90" i="2"/>
  <c r="K69" i="2"/>
  <c r="K86" i="2"/>
  <c r="L84" i="2"/>
  <c r="L83" i="2"/>
  <c r="I95" i="2"/>
  <c r="I97" i="2" s="1"/>
  <c r="N83" i="2"/>
  <c r="N84" i="2"/>
  <c r="N86" i="2" s="1"/>
  <c r="H103" i="2"/>
  <c r="H98" i="2"/>
  <c r="M69" i="2" l="1"/>
  <c r="M86" i="2"/>
  <c r="M91" i="2" s="1"/>
  <c r="K90" i="2"/>
  <c r="K91" i="2"/>
  <c r="K92" i="2"/>
  <c r="K94" i="2" s="1"/>
  <c r="L69" i="2"/>
  <c r="L86" i="2"/>
  <c r="J95" i="2"/>
  <c r="J97" i="2" s="1"/>
  <c r="N92" i="2"/>
  <c r="N94" i="2" s="1"/>
  <c r="N90" i="2"/>
  <c r="N91" i="2"/>
  <c r="H99" i="2"/>
  <c r="N69" i="2" l="1"/>
  <c r="M90" i="2"/>
  <c r="M92" i="2"/>
  <c r="M94" i="2" s="1"/>
  <c r="M95" i="2" s="1"/>
  <c r="L92" i="2"/>
  <c r="L94" i="2" s="1"/>
  <c r="L90" i="2"/>
  <c r="L91" i="2"/>
  <c r="K95" i="2"/>
  <c r="K97" i="2" s="1"/>
  <c r="I98" i="2"/>
  <c r="I103" i="2"/>
  <c r="I99" i="2" s="1"/>
  <c r="N95" i="2"/>
  <c r="N97" i="2" s="1"/>
  <c r="M97" i="2" l="1"/>
  <c r="L95" i="2"/>
  <c r="L97" i="2" s="1"/>
  <c r="J103" i="2"/>
  <c r="J99" i="2" s="1"/>
  <c r="J98" i="2"/>
  <c r="K103" i="2" l="1"/>
  <c r="K99" i="2" s="1"/>
  <c r="K98" i="2"/>
  <c r="L103" i="2" l="1"/>
  <c r="L99" i="2" s="1"/>
  <c r="L98" i="2"/>
  <c r="M103" i="2" l="1"/>
  <c r="M99" i="2" s="1"/>
  <c r="N98" i="2" s="1"/>
  <c r="M98" i="2"/>
  <c r="N103" i="2" l="1"/>
  <c r="N9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7" authorId="0" shapeId="0" xr:uid="{DE778BE3-463E-474D-BD7C-7E0A817445EE}">
      <text>
        <r>
          <rPr>
            <sz val="11"/>
            <color theme="1"/>
            <rFont val="Calibri"/>
            <family val="2"/>
            <scheme val="minor"/>
          </rPr>
          <t>======
ID#AAABcvAGORU
    (2025-01-24 18:53:13)
Por la cantidad de meses que quedan en el año desde la fecha en que se otorgan</t>
        </r>
      </text>
    </comment>
    <comment ref="A54" authorId="0" shapeId="0" xr:uid="{182A12B6-90C9-4B37-9EF4-3EAFE87F6A2C}">
      <text>
        <r>
          <rPr>
            <sz val="11"/>
            <color theme="1"/>
            <rFont val="Calibri"/>
            <family val="2"/>
            <scheme val="minor"/>
          </rPr>
          <t>======
ID#AAABcvXbxC8
    (2025-01-24 18:53:13)
====
ELIMINO EL SAC</t>
        </r>
      </text>
    </comment>
    <comment ref="G54" authorId="0" shapeId="0" xr:uid="{B13BDD20-ECB3-471D-BEC5-94C71147DCFC}">
      <text>
        <r>
          <rPr>
            <sz val="11"/>
            <color theme="1"/>
            <rFont val="Calibri"/>
            <family val="2"/>
            <scheme val="minor"/>
          </rPr>
          <t>======
ID#AAABcvXbbbE
Silvina Fumilla    (2025-01-24 18:53:13)
RG 5531 “C - SUELDO ANUAL COMPLEMENTARIO (SAC)
Los agentes de retención deberán adicionar a la ganancia bruta de cada mes calendario, determinada conforme el Apartado A, y, en su caso, a las retribuciones no habituales previstas en el Apartado B, una doceava parte de la suma de tales ganancias en concepto de Sueldo Anual Complementario para la determinación del importe a retener en dicho mes.
Asimismo, detraerán una doceava parte de las deducciones a computar en dicho mes, en concepto de deducciones del Sueldo Anual Complementario.
A los fines de determinar la retención que corresponda, teniendo en cuenta los importes efectivamente abonados en concepto de sueldo anual complementario, el empleador podrá optar por una de las siguientes alternativas:
a) En los meses en que se abonen las cuotas del Sueldo Anual Complementario, adicionar los importes realmente abonados por dichas cuotas y las deducciones que se practicaron sobre las mismas, a la determinación de la retención mensual, y descontar las doceavas partes computadas en los meses transcurridos hasta el mes de pago de tales cuotas.
b) Utilizar la metodología mencionada en los primeros dos párrafos durante todo el período fiscal y, luego, en la liquidación anual o final, según corresponda, efectuada conforme el artículo 21, adicionar las dos cuotas del Sueldo Anual Complementario efectivamente abonadas en el período fiscal y las deducciones correspondientes a los conceptos informados por el beneficiario de las rentas, y descontar las doceavas partes computadas en cada mes del período fiscal.”.</t>
        </r>
      </text>
    </comment>
    <comment ref="M54" authorId="0" shapeId="0" xr:uid="{7A80D42B-430F-4793-AFEA-AEC173F421A4}">
      <text>
        <r>
          <rPr>
            <sz val="11"/>
            <color theme="1"/>
            <rFont val="Calibri"/>
            <family val="2"/>
            <scheme val="minor"/>
          </rPr>
          <t>======
ID#AAABcvXbbbc
Silvina Fumilla    (2025-01-24 18:53:13)
RG 5531 “C - SUELDO ANUAL COMPLEMENTARIO (SAC)
Los agentes de retención deberán adicionar a la ganancia bruta de cada mes calendario, determinada conforme el Apartado A, y, en su caso, a las retribuciones no habituales previstas en el Apartado B, una doceava parte de la suma de tales ganancias en concepto de Sueldo Anual Complementario para la determinación del importe a retener en dicho mes.
Asimismo, detraerán una doceava parte de las deducciones a computar en dicho mes, en concepto de deducciones del Sueldo Anual Complementario.
A los fines de determinar la retención que corresponda, teniendo en cuenta los importes efectivamente abonados en concepto de sueldo anual complementario, el empleador podrá optar por una de las siguientes alternativas:
a) En los meses en que se abonen las cuotas del Sueldo Anual Complementario, adicionar los importes realmente abonados por dichas cuotas y las deducciones que se practicaron sobre las mismas, a la determinación de la retención mensual, y descontar las doceavas partes computadas en los meses transcurridos hasta el mes de pago de tales cuotas.
b) Utilizar la metodología mencionada en los primeros dos párrafos durante todo el período fiscal y, luego, en la liquidación anual o final, según corresponda, efectuada conforme el artículo 21, adicionar las dos cuotas del Sueldo Anual Complementario efectivamente abonadas en el período fiscal y las deducciones correspondientes a los conceptos informados por el beneficiario de las rentas, y descontar las doceavas partes computadas en cada mes del período fiscal.”.</t>
        </r>
      </text>
    </comment>
    <comment ref="A55" authorId="0" shapeId="0" xr:uid="{50D65646-97FF-43D7-9C2D-DE3B6D300149}">
      <text>
        <r>
          <rPr>
            <sz val="11"/>
            <color theme="1"/>
            <rFont val="Calibri"/>
            <family val="2"/>
            <scheme val="minor"/>
          </rPr>
          <t>======
ID#AAABcvAGORE
    (2025-01-24 18:53:13)
=====
ELIMINO EL SAC</t>
        </r>
      </text>
    </comment>
    <comment ref="A100" authorId="0" shapeId="0" xr:uid="{C133DE2F-BC35-432A-97D3-5A4C29C14BF7}">
      <text>
        <r>
          <rPr>
            <sz val="11"/>
            <color theme="1"/>
            <rFont val="Calibri"/>
            <family val="2"/>
            <scheme val="minor"/>
          </rPr>
          <t>======
ID#AAABcvXbxCw
Silvina Fumilla    (2025-01-24 18:53:13)
Pago a cuenta artículo 8º del Decreto Nº 652/24: retenciones practicadas conforme con la Ley N° 27.725 rg 5531</t>
        </r>
      </text>
    </comment>
    <comment ref="A101" authorId="0" shapeId="0" xr:uid="{BEC11A94-E84D-456C-A6C4-FC218AE8B7EC}">
      <text>
        <r>
          <rPr>
            <sz val="11"/>
            <color theme="1"/>
            <rFont val="Calibri"/>
            <family val="2"/>
            <scheme val="minor"/>
          </rPr>
          <t>======
ID#AAABcvAGORA
Silvina Fumilla    (2025-01-24 18:53:13)
Diferencia Artículo 83 Ley N° 27.743 (“Deducción Especial” según artículo 8º del Decreto N° 652/24)  rg 5531</t>
        </r>
      </text>
    </comment>
    <comment ref="A102" authorId="0" shapeId="0" xr:uid="{2526DD93-07FC-4B92-BBAC-0F2431F3B25C}">
      <text>
        <r>
          <rPr>
            <sz val="11"/>
            <color theme="1"/>
            <rFont val="Calibri"/>
            <family val="2"/>
            <scheme val="minor"/>
          </rPr>
          <t>======
ID#AAABcvAGORI
Silvina Fumilla    (2025-01-24 18:53:13)
c) en oportunidad de la liquidación anual: acumulados anualmente, considerando los montos actualizados a partir del 1 de julio. De corresponder, se reintegrará el monto retenido en exceso durante el período fiscal, resultante de aplicar los parámetros mencionados en este punto.”. RG 5531 art 1</t>
        </r>
      </text>
    </comment>
  </commentList>
</comments>
</file>

<file path=xl/sharedStrings.xml><?xml version="1.0" encoding="utf-8"?>
<sst xmlns="http://schemas.openxmlformats.org/spreadsheetml/2006/main" count="110" uniqueCount="95">
  <si>
    <t xml:space="preserve">SAC </t>
  </si>
  <si>
    <t>vac</t>
  </si>
  <si>
    <t>Sueldo bruto</t>
  </si>
  <si>
    <t>Plus vacaciones</t>
  </si>
  <si>
    <t>SAC REAL</t>
  </si>
  <si>
    <t>SAC Prorrateado</t>
  </si>
  <si>
    <t>art 26 gravado en su totalidad</t>
  </si>
  <si>
    <t>BONO</t>
  </si>
  <si>
    <t>Sub Total Ganancia Bruta</t>
  </si>
  <si>
    <t>Jubilac.</t>
  </si>
  <si>
    <t>Ley 19032</t>
  </si>
  <si>
    <t>Obra social</t>
  </si>
  <si>
    <t>Total Descuentos</t>
  </si>
  <si>
    <t>Ingresos gravados (menos SAC)</t>
  </si>
  <si>
    <t>Prorrateo vacaciones</t>
  </si>
  <si>
    <t>Descuentos</t>
  </si>
  <si>
    <t>Ingresos Gravados Acumulados SUELDO MAS VACACIONES</t>
  </si>
  <si>
    <t>Ajuste al neto SAC</t>
  </si>
  <si>
    <t>SAC DIC</t>
  </si>
  <si>
    <t xml:space="preserve">Ajuste al neto SAC ACUM </t>
  </si>
  <si>
    <t xml:space="preserve">ajuste neto sac 1 a 5 2024 según rg 5531 art 1 k </t>
  </si>
  <si>
    <t>TOTAL CARGAS</t>
  </si>
  <si>
    <t>SAC JUNIO</t>
  </si>
  <si>
    <t>cargas sac real</t>
  </si>
  <si>
    <t>CARGAS ACUM</t>
  </si>
  <si>
    <t xml:space="preserve">CARGAS SOC SAC </t>
  </si>
  <si>
    <t>Ganancia neta mensual SDO VAC Y SAC MENOS CARGAS</t>
  </si>
  <si>
    <t xml:space="preserve">Ganancia Neta acumulada </t>
  </si>
  <si>
    <t>Cuota Medico asistencial</t>
  </si>
  <si>
    <t>tope 5% de gcia neta del ejercicio acumulada</t>
  </si>
  <si>
    <t xml:space="preserve">Deducciones </t>
  </si>
  <si>
    <t>Ganancia no Imponible</t>
  </si>
  <si>
    <t>Deducción especial</t>
  </si>
  <si>
    <t>conyuge</t>
  </si>
  <si>
    <t>Empleada Doméstica</t>
  </si>
  <si>
    <t>Deduccion SAC especial</t>
  </si>
  <si>
    <t>Sub Total Deducciones Personales</t>
  </si>
  <si>
    <t>Ded. Increm. 1er. Parr.</t>
  </si>
  <si>
    <t>Ded. Increm. 2do. Parr.</t>
  </si>
  <si>
    <t>Ded. Especial decreto 652/2024</t>
  </si>
  <si>
    <t>Gcia Neta Suj a Imp acumulada antes de osde</t>
  </si>
  <si>
    <t>Ganancia Neta Sujeta a Impuesto acumulada</t>
  </si>
  <si>
    <t>Base Imponible</t>
  </si>
  <si>
    <t>Impuesto (Anual)</t>
  </si>
  <si>
    <t>Porcentaje</t>
  </si>
  <si>
    <t>Sobre excedente de</t>
  </si>
  <si>
    <t>Base cálculo</t>
  </si>
  <si>
    <t>% calculado</t>
  </si>
  <si>
    <t>TOTAL IMPUESTO ANUAL</t>
  </si>
  <si>
    <t>Anterior</t>
  </si>
  <si>
    <t>Acumulado</t>
  </si>
  <si>
    <t>Impuesto Retenido por método Imp Cedular  (pago a cuenta) Decreto 652/2024</t>
  </si>
  <si>
    <t xml:space="preserve">Diferencia 2024  (Junio) por Cambio de método </t>
  </si>
  <si>
    <t>A favor empleado, se devuelve en liq anual 2024 ver normativa actualizada</t>
  </si>
  <si>
    <t>Impuesto Mes</t>
  </si>
  <si>
    <t>Impuesto Mes considerando saldo a favor</t>
  </si>
  <si>
    <t>GANANCIA NETA ACUMULADA</t>
  </si>
  <si>
    <t>PAGARAN</t>
  </si>
  <si>
    <t>MAS DE $</t>
  </si>
  <si>
    <t xml:space="preserve">A $ </t>
  </si>
  <si>
    <t>$</t>
  </si>
  <si>
    <t>MAS EL %</t>
  </si>
  <si>
    <t xml:space="preserve">S/EXCEDENTE DE </t>
  </si>
  <si>
    <t>en adelante</t>
  </si>
  <si>
    <t>Tabla de Deducciones</t>
  </si>
  <si>
    <t>https://www.afip.gob.ar/gananciasYBienes/ganancias/personas-humanas-sucesiones-indivisas/deducciones/documentos/Deducciones-personales-art-30-enero-junio-2025.pdf</t>
  </si>
  <si>
    <t>Ganancia No Imponible</t>
  </si>
  <si>
    <t>GNI</t>
  </si>
  <si>
    <t>Deducción Especial</t>
  </si>
  <si>
    <t>Cónyuge</t>
  </si>
  <si>
    <t>Hijos</t>
  </si>
  <si>
    <t>Serv Doméstico</t>
  </si>
  <si>
    <t>Primas de Seguro</t>
  </si>
  <si>
    <t>Gastos Educación</t>
  </si>
  <si>
    <t>Prima Seguro</t>
  </si>
  <si>
    <t>Gastos</t>
  </si>
  <si>
    <t>Intereses</t>
  </si>
  <si>
    <t>Educación</t>
  </si>
  <si>
    <t>Mes</t>
  </si>
  <si>
    <t>Sepelio</t>
  </si>
  <si>
    <t>Hipotecarios</t>
  </si>
  <si>
    <t>23333.68</t>
  </si>
  <si>
    <t>Tope cargas sociales Enero 2026</t>
  </si>
  <si>
    <t>Tope cargas sociales Febrero 2026</t>
  </si>
  <si>
    <t>Tope cargas sociales Marzo 2026</t>
  </si>
  <si>
    <t>Tope cargas sociales Abril 2026</t>
  </si>
  <si>
    <t>Tope cargas sociales Mayo 2026</t>
  </si>
  <si>
    <t>Tope cargas sociales Junio 2026</t>
  </si>
  <si>
    <t>Tope cargas sociales Julio 2026</t>
  </si>
  <si>
    <t>Tope cargas sociales AGOSTO 2026</t>
  </si>
  <si>
    <t>Tope cargas sociales SEPTIEMBRE 2026</t>
  </si>
  <si>
    <t>Tope cargas sociales OCTUBRE 2026</t>
  </si>
  <si>
    <t>Tope cargas sociales NOVIEMBRE 2026</t>
  </si>
  <si>
    <t>Tope cargas sociales DICIEMBRE  2026</t>
  </si>
  <si>
    <t>DETALLE CALCULO GANANCIAS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</si>
</sst>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 #,##0.00_-;_-* &quot;-&quot;??_-;_-@"/>
    <numFmt numFmtId="165" formatCode="#,##0.00_ ;\-#,##0.00\ "/>
    <numFmt numFmtId="166" formatCode="#,##0_ ;[Red]\-#,##0\ "/>
    <numFmt numFmtId="167" formatCode="#,##0.00_ ;[Red]\-#,##0.00\ "/>
  </numFmts>
  <fonts count="23" x14ac:knownFonts="1">
    <font>
      <sz val="11"/>
      <color theme="1"/>
      <name val="Calibri"/>
      <family val="2"/>
      <scheme val="minor"/>
    </font>
    <font>
      <sz val="11"/>
      <color theme="1"/>
      <name val="Calibri"/>
      <family val="2"/>
      <scheme val="minor"/>
    </font>
    <font>
      <sz val="11"/>
      <color theme="1"/>
      <name val="Calibri"/>
      <family val="2"/>
    </font>
    <font>
      <b/>
      <sz val="10"/>
      <name val="Arial"/>
      <family val="2"/>
    </font>
    <font>
      <sz val="11"/>
      <name val="Calibri"/>
      <family val="2"/>
    </font>
    <font>
      <sz val="10"/>
      <color rgb="FF2D2F44"/>
      <name val="Arial"/>
      <family val="2"/>
    </font>
    <font>
      <sz val="11"/>
      <color rgb="FF000000"/>
      <name val="Calibri"/>
      <family val="2"/>
      <scheme val="minor"/>
    </font>
    <font>
      <u/>
      <sz val="11"/>
      <color theme="10"/>
      <name val="Calibri"/>
      <family val="2"/>
      <scheme val="minor"/>
    </font>
    <font>
      <b/>
      <sz val="11"/>
      <name val="Calibri"/>
      <family val="2"/>
    </font>
    <font>
      <sz val="11"/>
      <name val="Calibri"/>
      <family val="2"/>
      <scheme val="minor"/>
    </font>
    <font>
      <b/>
      <u/>
      <sz val="11"/>
      <name val="Calibri"/>
      <family val="2"/>
    </font>
    <font>
      <sz val="8"/>
      <name val="Arial"/>
      <family val="2"/>
    </font>
    <font>
      <b/>
      <sz val="8"/>
      <name val="Arial"/>
      <family val="2"/>
    </font>
    <font>
      <sz val="10"/>
      <name val="Calibri"/>
      <family val="2"/>
    </font>
    <font>
      <sz val="9"/>
      <name val="Calibri"/>
      <family val="2"/>
    </font>
    <font>
      <sz val="8"/>
      <name val="Calibri"/>
      <family val="2"/>
    </font>
    <font>
      <sz val="7"/>
      <name val="Calibri"/>
      <family val="2"/>
      <scheme val="minor"/>
    </font>
    <font>
      <sz val="10"/>
      <name val="Arial"/>
      <family val="2"/>
    </font>
    <font>
      <b/>
      <sz val="11"/>
      <name val="Calibri"/>
      <family val="2"/>
      <scheme val="minor"/>
    </font>
    <font>
      <sz val="9"/>
      <name val="Quattrocento Sans"/>
      <family val="2"/>
    </font>
    <font>
      <sz val="11"/>
      <color rgb="FFFF0000"/>
      <name val="Calibri"/>
      <family val="2"/>
      <scheme val="minor"/>
    </font>
    <font>
      <sz val="11"/>
      <color rgb="FFFF0000"/>
      <name val="Calibri"/>
      <family val="2"/>
    </font>
    <font>
      <u/>
      <sz val="11"/>
      <name val="Calibri"/>
      <family val="2"/>
      <scheme val="minor"/>
    </font>
  </fonts>
  <fills count="20">
    <fill>
      <patternFill patternType="none"/>
    </fill>
    <fill>
      <patternFill patternType="gray125"/>
    </fill>
    <fill>
      <patternFill patternType="solid">
        <fgColor rgb="FFDEEAF6"/>
        <bgColor rgb="FFDEEAF6"/>
      </patternFill>
    </fill>
    <fill>
      <patternFill patternType="solid">
        <fgColor rgb="FFFFFFCC"/>
        <bgColor rgb="FFFFFFCC"/>
      </patternFill>
    </fill>
    <fill>
      <patternFill patternType="solid">
        <fgColor rgb="FFF2EADD"/>
        <bgColor rgb="FF000000"/>
      </patternFill>
    </fill>
    <fill>
      <patternFill patternType="solid">
        <fgColor rgb="FFFFFF99"/>
        <bgColor rgb="FFFFFF99"/>
      </patternFill>
    </fill>
    <fill>
      <patternFill patternType="solid">
        <fgColor rgb="FFFFFF00"/>
        <bgColor rgb="FFFFFF00"/>
      </patternFill>
    </fill>
    <fill>
      <patternFill patternType="solid">
        <fgColor rgb="FF92D050"/>
        <bgColor rgb="FF92D050"/>
      </patternFill>
    </fill>
    <fill>
      <patternFill patternType="solid">
        <fgColor rgb="FF99CC00"/>
        <bgColor rgb="FF99CC00"/>
      </patternFill>
    </fill>
    <fill>
      <patternFill patternType="solid">
        <fgColor theme="0"/>
        <bgColor theme="0"/>
      </patternFill>
    </fill>
    <fill>
      <patternFill patternType="solid">
        <fgColor rgb="FFFFC000"/>
        <bgColor rgb="FFFFC000"/>
      </patternFill>
    </fill>
    <fill>
      <patternFill patternType="solid">
        <fgColor rgb="FF8E0000"/>
        <bgColor indexed="64"/>
      </patternFill>
    </fill>
    <fill>
      <patternFill patternType="solid">
        <fgColor rgb="FFD9E2F3"/>
        <bgColor rgb="FFD9E2F3"/>
      </patternFill>
    </fill>
    <fill>
      <patternFill patternType="solid">
        <fgColor rgb="FFE2EFD9"/>
        <bgColor rgb="FFE2EFD9"/>
      </patternFill>
    </fill>
    <fill>
      <patternFill patternType="solid">
        <fgColor theme="7" tint="0.39997558519241921"/>
        <bgColor indexed="64"/>
      </patternFill>
    </fill>
    <fill>
      <patternFill patternType="solid">
        <fgColor rgb="FFFFE598"/>
        <bgColor rgb="FFFFE598"/>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bgColor indexed="64"/>
      </patternFill>
    </fill>
  </fills>
  <borders count="29">
    <border>
      <left/>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rgb="FF000000"/>
      </left>
      <right style="medium">
        <color rgb="FF000000"/>
      </right>
      <top style="medium">
        <color rgb="FF000000"/>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152">
    <xf numFmtId="0" fontId="0" fillId="0" borderId="0" xfId="0"/>
    <xf numFmtId="164" fontId="3" fillId="4" borderId="6" xfId="0" applyNumberFormat="1" applyFont="1" applyFill="1" applyBorder="1" applyAlignment="1">
      <alignment horizontal="right"/>
    </xf>
    <xf numFmtId="3" fontId="2" fillId="0" borderId="6" xfId="0" applyNumberFormat="1" applyFont="1" applyBorder="1"/>
    <xf numFmtId="9" fontId="2" fillId="0" borderId="6" xfId="0" applyNumberFormat="1" applyFont="1" applyBorder="1"/>
    <xf numFmtId="0" fontId="2" fillId="0" borderId="6" xfId="0" applyFont="1" applyBorder="1"/>
    <xf numFmtId="0" fontId="2" fillId="0" borderId="11"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3" xfId="0" applyFont="1" applyBorder="1" applyAlignment="1">
      <alignment horizontal="center"/>
    </xf>
    <xf numFmtId="0" fontId="5" fillId="13" borderId="24" xfId="0" applyFont="1" applyFill="1" applyBorder="1" applyAlignment="1">
      <alignment horizontal="right" vertical="center"/>
    </xf>
    <xf numFmtId="4" fontId="5" fillId="13" borderId="25" xfId="0" applyNumberFormat="1" applyFont="1" applyFill="1" applyBorder="1" applyAlignment="1">
      <alignment horizontal="right" vertical="center"/>
    </xf>
    <xf numFmtId="0" fontId="5" fillId="13" borderId="25" xfId="0" applyFont="1" applyFill="1" applyBorder="1" applyAlignment="1">
      <alignment horizontal="right" vertical="center"/>
    </xf>
    <xf numFmtId="4" fontId="5" fillId="13" borderId="24" xfId="0" applyNumberFormat="1" applyFont="1" applyFill="1" applyBorder="1" applyAlignment="1">
      <alignment horizontal="right" vertical="center"/>
    </xf>
    <xf numFmtId="0" fontId="5" fillId="13" borderId="25" xfId="0" applyFont="1" applyFill="1" applyBorder="1" applyAlignment="1">
      <alignment horizontal="center" vertical="center"/>
    </xf>
    <xf numFmtId="4" fontId="2" fillId="0" borderId="0" xfId="0" applyNumberFormat="1" applyFont="1"/>
    <xf numFmtId="3" fontId="2" fillId="16" borderId="6" xfId="0" applyNumberFormat="1" applyFont="1" applyFill="1" applyBorder="1"/>
    <xf numFmtId="0" fontId="1" fillId="16" borderId="0" xfId="0" applyFont="1" applyFill="1" applyAlignment="1">
      <alignment horizontal="left" vertical="center" wrapText="1"/>
    </xf>
    <xf numFmtId="4" fontId="1" fillId="16" borderId="0" xfId="0" applyNumberFormat="1" applyFont="1" applyFill="1" applyAlignment="1">
      <alignment horizontal="left" vertical="center" wrapText="1"/>
    </xf>
    <xf numFmtId="9" fontId="2" fillId="16" borderId="6" xfId="0" applyNumberFormat="1" applyFont="1" applyFill="1" applyBorder="1"/>
    <xf numFmtId="0" fontId="6" fillId="17" borderId="26" xfId="0" applyFont="1" applyFill="1" applyBorder="1" applyAlignment="1" applyProtection="1">
      <alignment horizontal="right" vertical="center" wrapText="1"/>
      <protection hidden="1"/>
    </xf>
    <xf numFmtId="4" fontId="6" fillId="17" borderId="23" xfId="0" applyNumberFormat="1" applyFont="1" applyFill="1" applyBorder="1" applyAlignment="1" applyProtection="1">
      <alignment horizontal="right" vertical="center" wrapText="1"/>
      <protection hidden="1"/>
    </xf>
    <xf numFmtId="9" fontId="6" fillId="0" borderId="26" xfId="0" applyNumberFormat="1" applyFont="1" applyBorder="1" applyAlignment="1" applyProtection="1">
      <alignment horizontal="center" vertical="center" wrapText="1"/>
      <protection hidden="1"/>
    </xf>
    <xf numFmtId="0" fontId="6" fillId="0" borderId="27" xfId="0" applyFont="1" applyBorder="1" applyAlignment="1" applyProtection="1">
      <alignment horizontal="right" vertical="center" wrapText="1"/>
      <protection hidden="1"/>
    </xf>
    <xf numFmtId="9" fontId="6" fillId="0" borderId="23" xfId="0" applyNumberFormat="1" applyFont="1" applyBorder="1" applyAlignment="1" applyProtection="1">
      <alignment horizontal="center" vertical="center" wrapText="1"/>
      <protection hidden="1"/>
    </xf>
    <xf numFmtId="4" fontId="6" fillId="0" borderId="23" xfId="0" applyNumberFormat="1" applyFont="1" applyBorder="1" applyAlignment="1" applyProtection="1">
      <alignment horizontal="right" vertical="center" wrapText="1"/>
      <protection hidden="1"/>
    </xf>
    <xf numFmtId="0" fontId="6" fillId="0" borderId="28" xfId="0" applyFont="1" applyBorder="1" applyAlignment="1" applyProtection="1">
      <alignment horizontal="right" vertical="center" wrapText="1"/>
      <protection hidden="1"/>
    </xf>
    <xf numFmtId="9" fontId="6" fillId="0" borderId="28" xfId="0" applyNumberFormat="1" applyFont="1" applyBorder="1" applyAlignment="1" applyProtection="1">
      <alignment horizontal="center" vertical="center" wrapText="1"/>
      <protection hidden="1"/>
    </xf>
    <xf numFmtId="0" fontId="6" fillId="18" borderId="26" xfId="0" applyFont="1" applyFill="1" applyBorder="1" applyAlignment="1" applyProtection="1">
      <alignment horizontal="right" vertical="center" wrapText="1"/>
      <protection hidden="1"/>
    </xf>
    <xf numFmtId="4" fontId="6" fillId="18" borderId="23" xfId="0" applyNumberFormat="1" applyFont="1" applyFill="1" applyBorder="1" applyAlignment="1" applyProtection="1">
      <alignment horizontal="right" vertical="center" wrapText="1"/>
      <protection hidden="1"/>
    </xf>
    <xf numFmtId="9" fontId="6" fillId="18" borderId="26" xfId="0" applyNumberFormat="1" applyFont="1" applyFill="1" applyBorder="1" applyAlignment="1" applyProtection="1">
      <alignment horizontal="center" vertical="center" wrapText="1"/>
      <protection hidden="1"/>
    </xf>
    <xf numFmtId="9" fontId="6" fillId="18" borderId="23" xfId="0" applyNumberFormat="1" applyFont="1" applyFill="1" applyBorder="1" applyAlignment="1" applyProtection="1">
      <alignment horizontal="center" vertical="center" wrapText="1"/>
      <protection hidden="1"/>
    </xf>
    <xf numFmtId="0" fontId="6" fillId="18" borderId="28" xfId="0" applyFont="1" applyFill="1" applyBorder="1" applyAlignment="1" applyProtection="1">
      <alignment horizontal="right" vertical="center" wrapText="1"/>
      <protection hidden="1"/>
    </xf>
    <xf numFmtId="9" fontId="6" fillId="18" borderId="28" xfId="0" applyNumberFormat="1" applyFont="1" applyFill="1" applyBorder="1" applyAlignment="1" applyProtection="1">
      <alignment horizontal="center" vertical="center" wrapText="1"/>
      <protection hidden="1"/>
    </xf>
    <xf numFmtId="0" fontId="6" fillId="19" borderId="26" xfId="0" applyFont="1" applyFill="1" applyBorder="1" applyAlignment="1" applyProtection="1">
      <alignment horizontal="right" vertical="center" wrapText="1"/>
      <protection hidden="1"/>
    </xf>
    <xf numFmtId="43" fontId="6" fillId="19" borderId="26" xfId="1" applyFont="1" applyFill="1" applyBorder="1" applyAlignment="1" applyProtection="1">
      <alignment horizontal="right" vertical="center" wrapText="1"/>
      <protection hidden="1"/>
    </xf>
    <xf numFmtId="9" fontId="6" fillId="19" borderId="26" xfId="0" applyNumberFormat="1" applyFont="1" applyFill="1" applyBorder="1" applyAlignment="1" applyProtection="1">
      <alignment horizontal="center" vertical="center" wrapText="1"/>
      <protection hidden="1"/>
    </xf>
    <xf numFmtId="0" fontId="6" fillId="19" borderId="27" xfId="0" applyFont="1" applyFill="1" applyBorder="1" applyAlignment="1" applyProtection="1">
      <alignment horizontal="right" vertical="center" wrapText="1"/>
      <protection hidden="1"/>
    </xf>
    <xf numFmtId="4" fontId="6" fillId="19" borderId="23" xfId="0" applyNumberFormat="1" applyFont="1" applyFill="1" applyBorder="1" applyAlignment="1" applyProtection="1">
      <alignment horizontal="right" vertical="center" wrapText="1"/>
      <protection hidden="1"/>
    </xf>
    <xf numFmtId="43" fontId="6" fillId="19" borderId="23" xfId="1" applyFont="1" applyFill="1" applyBorder="1" applyAlignment="1" applyProtection="1">
      <alignment horizontal="right" vertical="center" wrapText="1"/>
      <protection hidden="1"/>
    </xf>
    <xf numFmtId="9" fontId="6" fillId="19" borderId="23" xfId="0" applyNumberFormat="1" applyFont="1" applyFill="1" applyBorder="1" applyAlignment="1" applyProtection="1">
      <alignment horizontal="center" vertical="center" wrapText="1"/>
      <protection hidden="1"/>
    </xf>
    <xf numFmtId="0" fontId="6" fillId="19" borderId="28" xfId="0" applyFont="1" applyFill="1" applyBorder="1" applyAlignment="1" applyProtection="1">
      <alignment horizontal="right" vertical="center" wrapText="1"/>
      <protection hidden="1"/>
    </xf>
    <xf numFmtId="9" fontId="6" fillId="19" borderId="28" xfId="0" applyNumberFormat="1" applyFont="1" applyFill="1" applyBorder="1" applyAlignment="1" applyProtection="1">
      <alignment horizontal="center" vertical="center" wrapText="1"/>
      <protection hidden="1"/>
    </xf>
    <xf numFmtId="0" fontId="6" fillId="16" borderId="26" xfId="0" applyFont="1" applyFill="1" applyBorder="1" applyAlignment="1" applyProtection="1">
      <alignment horizontal="right" vertical="center" wrapText="1"/>
      <protection hidden="1"/>
    </xf>
    <xf numFmtId="4" fontId="6" fillId="16" borderId="23" xfId="0" applyNumberFormat="1" applyFont="1" applyFill="1" applyBorder="1" applyAlignment="1" applyProtection="1">
      <alignment horizontal="right" vertical="center" wrapText="1"/>
      <protection hidden="1"/>
    </xf>
    <xf numFmtId="9" fontId="6" fillId="16" borderId="26" xfId="0" applyNumberFormat="1" applyFont="1" applyFill="1" applyBorder="1" applyAlignment="1" applyProtection="1">
      <alignment horizontal="center" vertical="center" wrapText="1"/>
      <protection hidden="1"/>
    </xf>
    <xf numFmtId="0" fontId="6" fillId="16" borderId="27" xfId="0" applyFont="1" applyFill="1" applyBorder="1" applyAlignment="1" applyProtection="1">
      <alignment horizontal="right" vertical="center" wrapText="1"/>
      <protection hidden="1"/>
    </xf>
    <xf numFmtId="9" fontId="6" fillId="16" borderId="23" xfId="0" applyNumberFormat="1" applyFont="1" applyFill="1" applyBorder="1" applyAlignment="1" applyProtection="1">
      <alignment horizontal="center" vertical="center" wrapText="1"/>
      <protection hidden="1"/>
    </xf>
    <xf numFmtId="0" fontId="6" fillId="16" borderId="28" xfId="0" applyFont="1" applyFill="1" applyBorder="1" applyAlignment="1" applyProtection="1">
      <alignment horizontal="right" vertical="center" wrapText="1"/>
      <protection hidden="1"/>
    </xf>
    <xf numFmtId="9" fontId="6" fillId="16" borderId="28" xfId="0" applyNumberFormat="1" applyFont="1" applyFill="1" applyBorder="1" applyAlignment="1" applyProtection="1">
      <alignment horizontal="center" vertical="center" wrapText="1"/>
      <protection hidden="1"/>
    </xf>
    <xf numFmtId="43" fontId="6" fillId="16" borderId="26" xfId="1" applyFont="1" applyFill="1" applyBorder="1" applyAlignment="1" applyProtection="1">
      <alignment horizontal="right" vertical="center" wrapText="1"/>
      <protection hidden="1"/>
    </xf>
    <xf numFmtId="0" fontId="4" fillId="0" borderId="1" xfId="0" applyFont="1" applyBorder="1"/>
    <xf numFmtId="17" fontId="8" fillId="0" borderId="2" xfId="0" applyNumberFormat="1" applyFont="1" applyBorder="1" applyAlignment="1">
      <alignment horizontal="center"/>
    </xf>
    <xf numFmtId="17" fontId="4" fillId="0" borderId="3" xfId="0" applyNumberFormat="1" applyFont="1" applyBorder="1" applyAlignment="1">
      <alignment horizontal="center"/>
    </xf>
    <xf numFmtId="0" fontId="4" fillId="0" borderId="0" xfId="0" applyFont="1"/>
    <xf numFmtId="0" fontId="9" fillId="0" borderId="0" xfId="0" applyFont="1"/>
    <xf numFmtId="0" fontId="10" fillId="0" borderId="0" xfId="0" applyFont="1"/>
    <xf numFmtId="164" fontId="4" fillId="0" borderId="0" xfId="0" applyNumberFormat="1" applyFont="1"/>
    <xf numFmtId="0" fontId="8" fillId="0" borderId="0" xfId="0" applyFont="1" applyAlignment="1">
      <alignment horizontal="center"/>
    </xf>
    <xf numFmtId="0" fontId="8" fillId="0" borderId="0" xfId="0" applyFont="1"/>
    <xf numFmtId="164" fontId="4" fillId="2" borderId="0" xfId="0" applyNumberFormat="1" applyFont="1" applyFill="1"/>
    <xf numFmtId="17" fontId="4" fillId="0" borderId="0" xfId="0" applyNumberFormat="1" applyFont="1"/>
    <xf numFmtId="165" fontId="4" fillId="0" borderId="0" xfId="0" applyNumberFormat="1" applyFont="1"/>
    <xf numFmtId="4" fontId="11" fillId="19" borderId="0" xfId="0" applyNumberFormat="1" applyFont="1" applyFill="1"/>
    <xf numFmtId="43" fontId="11" fillId="19" borderId="0" xfId="1" applyFont="1" applyFill="1"/>
    <xf numFmtId="165" fontId="8" fillId="0" borderId="0" xfId="0" applyNumberFormat="1" applyFont="1"/>
    <xf numFmtId="4" fontId="11" fillId="0" borderId="0" xfId="0" applyNumberFormat="1" applyFont="1"/>
    <xf numFmtId="4" fontId="12" fillId="0" borderId="0" xfId="0" applyNumberFormat="1" applyFont="1"/>
    <xf numFmtId="4" fontId="13" fillId="0" borderId="0" xfId="0" applyNumberFormat="1" applyFont="1"/>
    <xf numFmtId="4" fontId="14" fillId="0" borderId="0" xfId="0" applyNumberFormat="1" applyFont="1"/>
    <xf numFmtId="4" fontId="15" fillId="0" borderId="0" xfId="0" applyNumberFormat="1" applyFont="1"/>
    <xf numFmtId="4" fontId="16" fillId="0" borderId="0" xfId="0" applyNumberFormat="1" applyFont="1"/>
    <xf numFmtId="17" fontId="4" fillId="0" borderId="4" xfId="0" applyNumberFormat="1" applyFont="1" applyBorder="1" applyAlignment="1">
      <alignment horizontal="center"/>
    </xf>
    <xf numFmtId="164" fontId="4" fillId="3" borderId="5" xfId="0" applyNumberFormat="1" applyFont="1" applyFill="1" applyBorder="1"/>
    <xf numFmtId="165" fontId="4" fillId="0" borderId="3" xfId="0" applyNumberFormat="1" applyFont="1" applyBorder="1"/>
    <xf numFmtId="165" fontId="4" fillId="6" borderId="0" xfId="0" applyNumberFormat="1" applyFont="1" applyFill="1"/>
    <xf numFmtId="165" fontId="8" fillId="0" borderId="7" xfId="0" applyNumberFormat="1" applyFont="1" applyBorder="1"/>
    <xf numFmtId="165" fontId="8" fillId="0" borderId="8" xfId="0" applyNumberFormat="1" applyFont="1" applyBorder="1"/>
    <xf numFmtId="165" fontId="8" fillId="0" borderId="3" xfId="0" applyNumberFormat="1" applyFont="1" applyBorder="1"/>
    <xf numFmtId="166" fontId="17" fillId="7" borderId="9" xfId="0" applyNumberFormat="1" applyFont="1" applyFill="1" applyBorder="1" applyAlignment="1">
      <alignment horizontal="right"/>
    </xf>
    <xf numFmtId="0" fontId="8" fillId="8" borderId="6" xfId="0" applyFont="1" applyFill="1" applyBorder="1"/>
    <xf numFmtId="165" fontId="4" fillId="0" borderId="4" xfId="0" applyNumberFormat="1" applyFont="1" applyBorder="1"/>
    <xf numFmtId="165" fontId="4" fillId="0" borderId="10" xfId="0" applyNumberFormat="1" applyFont="1" applyBorder="1"/>
    <xf numFmtId="0" fontId="4" fillId="6" borderId="11" xfId="0" applyFont="1" applyFill="1" applyBorder="1"/>
    <xf numFmtId="165" fontId="4" fillId="6" borderId="3" xfId="0" applyNumberFormat="1" applyFont="1" applyFill="1" applyBorder="1"/>
    <xf numFmtId="0" fontId="4" fillId="6" borderId="0" xfId="0" applyFont="1" applyFill="1"/>
    <xf numFmtId="0" fontId="4" fillId="9" borderId="0" xfId="0" applyFont="1" applyFill="1"/>
    <xf numFmtId="165" fontId="4" fillId="9" borderId="3" xfId="0" applyNumberFormat="1" applyFont="1" applyFill="1" applyBorder="1"/>
    <xf numFmtId="165" fontId="4" fillId="9" borderId="0" xfId="0" applyNumberFormat="1" applyFont="1" applyFill="1"/>
    <xf numFmtId="165" fontId="4" fillId="2" borderId="3" xfId="0" applyNumberFormat="1" applyFont="1" applyFill="1" applyBorder="1"/>
    <xf numFmtId="165" fontId="4" fillId="2" borderId="0" xfId="0" applyNumberFormat="1" applyFont="1" applyFill="1"/>
    <xf numFmtId="165" fontId="4" fillId="0" borderId="7" xfId="0" applyNumberFormat="1" applyFont="1" applyBorder="1"/>
    <xf numFmtId="165" fontId="4" fillId="0" borderId="8" xfId="0" applyNumberFormat="1" applyFont="1" applyBorder="1"/>
    <xf numFmtId="0" fontId="4" fillId="0" borderId="3" xfId="0" applyFont="1" applyBorder="1"/>
    <xf numFmtId="0" fontId="8" fillId="10" borderId="11" xfId="0" applyFont="1" applyFill="1" applyBorder="1"/>
    <xf numFmtId="164" fontId="4" fillId="0" borderId="3" xfId="0" applyNumberFormat="1" applyFont="1" applyBorder="1"/>
    <xf numFmtId="0" fontId="4" fillId="2" borderId="0" xfId="0" applyFont="1" applyFill="1"/>
    <xf numFmtId="165" fontId="8" fillId="2" borderId="0" xfId="0" applyNumberFormat="1" applyFont="1" applyFill="1"/>
    <xf numFmtId="4" fontId="18" fillId="11" borderId="12" xfId="0" applyNumberFormat="1" applyFont="1" applyFill="1" applyBorder="1" applyProtection="1">
      <protection hidden="1"/>
    </xf>
    <xf numFmtId="4" fontId="19" fillId="2" borderId="0" xfId="0" applyNumberFormat="1" applyFont="1" applyFill="1"/>
    <xf numFmtId="4" fontId="4" fillId="12" borderId="0" xfId="0" applyNumberFormat="1" applyFont="1" applyFill="1"/>
    <xf numFmtId="0" fontId="8" fillId="10" borderId="6" xfId="0" applyFont="1" applyFill="1" applyBorder="1"/>
    <xf numFmtId="0" fontId="4" fillId="5" borderId="5" xfId="0" applyFont="1" applyFill="1" applyBorder="1"/>
    <xf numFmtId="165" fontId="4" fillId="13" borderId="3" xfId="0" applyNumberFormat="1" applyFont="1" applyFill="1" applyBorder="1"/>
    <xf numFmtId="0" fontId="4" fillId="5" borderId="0" xfId="0" applyFont="1" applyFill="1"/>
    <xf numFmtId="165" fontId="4" fillId="13" borderId="0" xfId="0" applyNumberFormat="1" applyFont="1" applyFill="1"/>
    <xf numFmtId="4" fontId="19" fillId="13" borderId="0" xfId="0" applyNumberFormat="1" applyFont="1" applyFill="1"/>
    <xf numFmtId="4" fontId="18" fillId="14" borderId="12" xfId="0" applyNumberFormat="1" applyFont="1" applyFill="1" applyBorder="1" applyProtection="1">
      <protection hidden="1"/>
    </xf>
    <xf numFmtId="0" fontId="8" fillId="5" borderId="6" xfId="0" applyFont="1" applyFill="1" applyBorder="1" applyAlignment="1">
      <alignment horizontal="left"/>
    </xf>
    <xf numFmtId="167" fontId="8" fillId="5" borderId="13" xfId="0" applyNumberFormat="1" applyFont="1" applyFill="1" applyBorder="1" applyAlignment="1">
      <alignment horizontal="right" vertical="center"/>
    </xf>
    <xf numFmtId="0" fontId="4" fillId="0" borderId="10" xfId="0" applyFont="1" applyBorder="1"/>
    <xf numFmtId="165" fontId="8" fillId="0" borderId="10" xfId="0" applyNumberFormat="1" applyFont="1" applyBorder="1"/>
    <xf numFmtId="1" fontId="4" fillId="0" borderId="10" xfId="0" applyNumberFormat="1" applyFont="1" applyBorder="1"/>
    <xf numFmtId="0" fontId="4" fillId="2" borderId="10" xfId="0" applyFont="1" applyFill="1" applyBorder="1"/>
    <xf numFmtId="3" fontId="4" fillId="0" borderId="6" xfId="0" applyNumberFormat="1" applyFont="1" applyBorder="1"/>
    <xf numFmtId="0" fontId="4" fillId="0" borderId="14" xfId="0" applyFont="1" applyBorder="1" applyAlignment="1">
      <alignment horizontal="left"/>
    </xf>
    <xf numFmtId="9" fontId="4" fillId="0" borderId="6" xfId="0" applyNumberFormat="1" applyFont="1" applyBorder="1"/>
    <xf numFmtId="3" fontId="4" fillId="0" borderId="14" xfId="0" applyNumberFormat="1" applyFont="1" applyBorder="1" applyAlignment="1">
      <alignment horizontal="left"/>
    </xf>
    <xf numFmtId="3" fontId="4" fillId="0" borderId="14" xfId="0" applyNumberFormat="1" applyFont="1" applyBorder="1"/>
    <xf numFmtId="3" fontId="8" fillId="15" borderId="14" xfId="0" applyNumberFormat="1" applyFont="1" applyFill="1" applyBorder="1"/>
    <xf numFmtId="3" fontId="8" fillId="15" borderId="6" xfId="0" applyNumberFormat="1" applyFont="1" applyFill="1" applyBorder="1"/>
    <xf numFmtId="3" fontId="8" fillId="2" borderId="6" xfId="0" applyNumberFormat="1" applyFont="1" applyFill="1" applyBorder="1"/>
    <xf numFmtId="3" fontId="8" fillId="0" borderId="6" xfId="0" applyNumberFormat="1" applyFont="1" applyBorder="1"/>
    <xf numFmtId="3" fontId="4" fillId="2" borderId="6" xfId="0" applyNumberFormat="1" applyFont="1" applyFill="1" applyBorder="1"/>
    <xf numFmtId="3" fontId="4" fillId="2" borderId="15" xfId="0" applyNumberFormat="1" applyFont="1" applyFill="1" applyBorder="1" applyAlignment="1">
      <alignment wrapText="1"/>
    </xf>
    <xf numFmtId="3" fontId="4" fillId="2" borderId="11" xfId="0" applyNumberFormat="1" applyFont="1" applyFill="1" applyBorder="1"/>
    <xf numFmtId="3" fontId="4" fillId="0" borderId="15" xfId="0" applyNumberFormat="1" applyFont="1" applyBorder="1"/>
    <xf numFmtId="3" fontId="4" fillId="0" borderId="11" xfId="0" applyNumberFormat="1" applyFont="1" applyBorder="1"/>
    <xf numFmtId="3" fontId="4" fillId="0" borderId="15" xfId="0" applyNumberFormat="1" applyFont="1" applyBorder="1" applyAlignment="1">
      <alignment wrapText="1"/>
    </xf>
    <xf numFmtId="3" fontId="8" fillId="6" borderId="11" xfId="0" applyNumberFormat="1" applyFont="1" applyFill="1" applyBorder="1"/>
    <xf numFmtId="3" fontId="4" fillId="6" borderId="16" xfId="0" applyNumberFormat="1" applyFont="1" applyFill="1" applyBorder="1"/>
    <xf numFmtId="3" fontId="8" fillId="2" borderId="17" xfId="0" applyNumberFormat="1" applyFont="1" applyFill="1" applyBorder="1"/>
    <xf numFmtId="164" fontId="8" fillId="6" borderId="17" xfId="0" applyNumberFormat="1" applyFont="1" applyFill="1" applyBorder="1"/>
    <xf numFmtId="3" fontId="8" fillId="6" borderId="17" xfId="0" applyNumberFormat="1" applyFont="1" applyFill="1" applyBorder="1"/>
    <xf numFmtId="3" fontId="8" fillId="0" borderId="0" xfId="0" applyNumberFormat="1" applyFont="1"/>
    <xf numFmtId="164" fontId="8" fillId="0" borderId="0" xfId="0" applyNumberFormat="1" applyFont="1"/>
    <xf numFmtId="0" fontId="2" fillId="0" borderId="18" xfId="0" applyFont="1" applyBorder="1" applyAlignment="1">
      <alignment horizontal="center" wrapText="1"/>
    </xf>
    <xf numFmtId="0" fontId="4" fillId="0" borderId="19" xfId="0" applyFont="1" applyBorder="1"/>
    <xf numFmtId="0" fontId="20" fillId="0" borderId="0" xfId="0" applyFont="1"/>
    <xf numFmtId="9" fontId="21" fillId="0" borderId="0" xfId="0" applyNumberFormat="1" applyFont="1"/>
    <xf numFmtId="4" fontId="21" fillId="0" borderId="0" xfId="0" applyNumberFormat="1" applyFont="1"/>
    <xf numFmtId="0" fontId="22" fillId="0" borderId="0" xfId="3" applyFont="1"/>
    <xf numFmtId="3" fontId="4" fillId="13" borderId="0" xfId="0" applyNumberFormat="1" applyFont="1" applyFill="1"/>
    <xf numFmtId="3" fontId="4" fillId="0" borderId="0" xfId="0" applyNumberFormat="1" applyFont="1"/>
    <xf numFmtId="4" fontId="9" fillId="19" borderId="0" xfId="0" applyNumberFormat="1" applyFont="1" applyFill="1"/>
    <xf numFmtId="4" fontId="11" fillId="13" borderId="0" xfId="0" applyNumberFormat="1" applyFont="1" applyFill="1"/>
    <xf numFmtId="4" fontId="9" fillId="0" borderId="0" xfId="0" applyNumberFormat="1" applyFont="1"/>
    <xf numFmtId="3" fontId="8" fillId="13" borderId="0" xfId="0" applyNumberFormat="1" applyFont="1" applyFill="1"/>
    <xf numFmtId="9" fontId="9" fillId="0" borderId="0" xfId="2" applyFont="1"/>
    <xf numFmtId="4" fontId="4" fillId="0" borderId="0" xfId="0" applyNumberFormat="1" applyFont="1"/>
    <xf numFmtId="0" fontId="4" fillId="0" borderId="0" xfId="0" applyFont="1" applyAlignment="1">
      <alignment horizontal="center"/>
    </xf>
  </cellXfs>
  <cellStyles count="4">
    <cellStyle name="Hipervínculo" xfId="3" builtinId="8"/>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38</xdr:row>
      <xdr:rowOff>0</xdr:rowOff>
    </xdr:from>
    <xdr:ext cx="5419725" cy="7677150"/>
    <xdr:pic>
      <xdr:nvPicPr>
        <xdr:cNvPr id="3" name="image1.png">
          <a:extLst>
            <a:ext uri="{FF2B5EF4-FFF2-40B4-BE49-F238E27FC236}">
              <a16:creationId xmlns:a16="http://schemas.microsoft.com/office/drawing/2014/main" id="{8C6FB4D0-E41C-4887-9D5C-F8C98792ABCB}"/>
            </a:ext>
          </a:extLst>
        </xdr:cNvPr>
        <xdr:cNvPicPr preferRelativeResize="0"/>
      </xdr:nvPicPr>
      <xdr:blipFill>
        <a:blip xmlns:r="http://schemas.openxmlformats.org/officeDocument/2006/relationships" r:embed="rId1" cstate="print"/>
        <a:stretch>
          <a:fillRect/>
        </a:stretch>
      </xdr:blipFill>
      <xdr:spPr>
        <a:xfrm>
          <a:off x="0" y="7004050"/>
          <a:ext cx="5419725" cy="7677150"/>
        </a:xfrm>
        <a:prstGeom prst="rect">
          <a:avLst/>
        </a:prstGeom>
        <a:noFill/>
      </xdr:spPr>
    </xdr:pic>
    <xdr:clientData fLocksWithSheet="0"/>
  </xdr:oneCellAnchor>
  <xdr:oneCellAnchor>
    <xdr:from>
      <xdr:col>7</xdr:col>
      <xdr:colOff>352425</xdr:colOff>
      <xdr:row>38</xdr:row>
      <xdr:rowOff>133350</xdr:rowOff>
    </xdr:from>
    <xdr:ext cx="5581650" cy="7762875"/>
    <xdr:pic>
      <xdr:nvPicPr>
        <xdr:cNvPr id="4" name="image3.png">
          <a:extLst>
            <a:ext uri="{FF2B5EF4-FFF2-40B4-BE49-F238E27FC236}">
              <a16:creationId xmlns:a16="http://schemas.microsoft.com/office/drawing/2014/main" id="{17C58400-55B5-41DB-8602-99E277A3B2AF}"/>
            </a:ext>
          </a:extLst>
        </xdr:cNvPr>
        <xdr:cNvPicPr preferRelativeResize="0"/>
      </xdr:nvPicPr>
      <xdr:blipFill>
        <a:blip xmlns:r="http://schemas.openxmlformats.org/officeDocument/2006/relationships" r:embed="rId2" cstate="print"/>
        <a:stretch>
          <a:fillRect/>
        </a:stretch>
      </xdr:blipFill>
      <xdr:spPr>
        <a:xfrm>
          <a:off x="6937375" y="7137400"/>
          <a:ext cx="5581650" cy="7762875"/>
        </a:xfrm>
        <a:prstGeom prst="rect">
          <a:avLst/>
        </a:prstGeom>
        <a:noFill/>
      </xdr:spPr>
    </xdr:pic>
    <xdr:clientData fLocksWithSheet="0"/>
  </xdr:oneCellAnchor>
  <xdr:oneCellAnchor>
    <xdr:from>
      <xdr:col>15</xdr:col>
      <xdr:colOff>66675</xdr:colOff>
      <xdr:row>38</xdr:row>
      <xdr:rowOff>85725</xdr:rowOff>
    </xdr:from>
    <xdr:ext cx="5334000" cy="7419975"/>
    <xdr:pic>
      <xdr:nvPicPr>
        <xdr:cNvPr id="5" name="image2.png">
          <a:extLst>
            <a:ext uri="{FF2B5EF4-FFF2-40B4-BE49-F238E27FC236}">
              <a16:creationId xmlns:a16="http://schemas.microsoft.com/office/drawing/2014/main" id="{7DE1F2FD-F61C-4B24-BD23-6C75F2DA1DF9}"/>
            </a:ext>
          </a:extLst>
        </xdr:cNvPr>
        <xdr:cNvPicPr preferRelativeResize="0"/>
      </xdr:nvPicPr>
      <xdr:blipFill>
        <a:blip xmlns:r="http://schemas.openxmlformats.org/officeDocument/2006/relationships" r:embed="rId3" cstate="print"/>
        <a:stretch>
          <a:fillRect/>
        </a:stretch>
      </xdr:blipFill>
      <xdr:spPr>
        <a:xfrm>
          <a:off x="13871575" y="7089775"/>
          <a:ext cx="5334000" cy="741997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afip.gob.ar/gananciasYBienes/ganancias/personas-humanas-sucesiones-indivisas/deducciones/documentos/Deducciones-personales-art-30-enero-junio-202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15DA6-6BEE-4C69-ABE5-1F7FBEAEEC1A}">
  <dimension ref="A1:X930"/>
  <sheetViews>
    <sheetView tabSelected="1" workbookViewId="0">
      <pane xSplit="1" ySplit="1" topLeftCell="S2" activePane="bottomRight" state="frozen"/>
      <selection activeCell="M4" sqref="M4"/>
      <selection pane="topRight" activeCell="M4" sqref="M4"/>
      <selection pane="bottomLeft" activeCell="M4" sqref="M4"/>
      <selection pane="bottomRight" activeCell="Z1" sqref="Z1"/>
    </sheetView>
  </sheetViews>
  <sheetFormatPr baseColWidth="10" defaultColWidth="14.453125" defaultRowHeight="15" customHeight="1" x14ac:dyDescent="0.35"/>
  <cols>
    <col min="1" max="1" width="38.453125" style="56" customWidth="1"/>
    <col min="2" max="2" width="13.08984375" style="56" customWidth="1"/>
    <col min="3" max="3" width="17.453125" style="56" customWidth="1"/>
    <col min="4" max="5" width="12.81640625" style="56" customWidth="1"/>
    <col min="6" max="6" width="15" style="56" customWidth="1"/>
    <col min="7" max="7" width="14.26953125" style="56" customWidth="1"/>
    <col min="8" max="8" width="13.7265625" style="56" bestFit="1" customWidth="1"/>
    <col min="9" max="9" width="13.54296875" style="56" customWidth="1"/>
    <col min="10" max="10" width="12.81640625" style="56" customWidth="1"/>
    <col min="11" max="11" width="14.08984375" style="56" customWidth="1"/>
    <col min="12" max="12" width="14" style="56" customWidth="1"/>
    <col min="13" max="13" width="13.54296875" style="56" customWidth="1"/>
    <col min="14" max="14" width="14" style="56" customWidth="1"/>
    <col min="15" max="15" width="10.7265625" style="56" customWidth="1"/>
    <col min="16" max="16384" width="14.453125" style="56"/>
  </cols>
  <sheetData>
    <row r="1" spans="1:24" ht="14.5" x14ac:dyDescent="0.35">
      <c r="A1" s="52"/>
      <c r="B1" s="53">
        <v>46023</v>
      </c>
      <c r="C1" s="53">
        <v>46054</v>
      </c>
      <c r="D1" s="53">
        <v>46082</v>
      </c>
      <c r="E1" s="53">
        <v>46113</v>
      </c>
      <c r="F1" s="53">
        <v>46143</v>
      </c>
      <c r="G1" s="53">
        <v>46174</v>
      </c>
      <c r="H1" s="53">
        <v>46204</v>
      </c>
      <c r="I1" s="53">
        <v>46235</v>
      </c>
      <c r="J1" s="53">
        <v>46266</v>
      </c>
      <c r="K1" s="53">
        <v>46296</v>
      </c>
      <c r="L1" s="53">
        <v>46327</v>
      </c>
      <c r="M1" s="53">
        <v>46357</v>
      </c>
      <c r="N1" s="54"/>
      <c r="O1" s="55"/>
      <c r="P1" s="55"/>
      <c r="Q1" s="55"/>
      <c r="R1" s="55"/>
      <c r="S1" s="55"/>
      <c r="T1" s="55"/>
      <c r="U1" s="55"/>
      <c r="V1" s="55"/>
      <c r="W1" s="55"/>
      <c r="X1" s="55"/>
    </row>
    <row r="2" spans="1:24" ht="14.5" x14ac:dyDescent="0.35">
      <c r="A2" s="57" t="s">
        <v>94</v>
      </c>
      <c r="B2" s="58"/>
      <c r="C2" s="58"/>
      <c r="D2" s="55"/>
      <c r="E2" s="55"/>
      <c r="F2" s="55"/>
      <c r="G2" s="55"/>
      <c r="H2" s="55"/>
      <c r="I2" s="55"/>
      <c r="J2" s="55"/>
      <c r="K2" s="55"/>
      <c r="L2" s="55"/>
      <c r="M2" s="55"/>
      <c r="N2" s="55"/>
      <c r="O2" s="55"/>
      <c r="P2" s="55"/>
      <c r="Q2" s="55"/>
      <c r="R2" s="55"/>
      <c r="S2" s="55"/>
      <c r="T2" s="55"/>
      <c r="U2" s="55"/>
      <c r="V2" s="55"/>
      <c r="W2" s="55"/>
      <c r="X2" s="55"/>
    </row>
    <row r="3" spans="1:24" ht="14.5" x14ac:dyDescent="0.35">
      <c r="A3" s="58"/>
      <c r="B3" s="58"/>
      <c r="C3" s="55"/>
      <c r="D3" s="55"/>
      <c r="E3" s="55"/>
      <c r="F3" s="59"/>
      <c r="G3" s="59"/>
      <c r="H3" s="59"/>
      <c r="I3" s="59"/>
      <c r="J3" s="55"/>
      <c r="K3" s="60"/>
      <c r="L3" s="55"/>
      <c r="M3" s="55"/>
      <c r="N3" s="55"/>
      <c r="O3" s="55"/>
      <c r="P3" s="55"/>
      <c r="Q3" s="55"/>
      <c r="R3" s="55"/>
      <c r="S3" s="55"/>
      <c r="T3" s="55"/>
      <c r="U3" s="55"/>
      <c r="V3" s="55"/>
      <c r="W3" s="55"/>
      <c r="X3" s="55"/>
    </row>
    <row r="4" spans="1:24" ht="14.5" x14ac:dyDescent="0.35">
      <c r="A4" s="55"/>
      <c r="B4" s="61"/>
      <c r="C4" s="55"/>
      <c r="D4" s="55"/>
      <c r="E4" s="62"/>
      <c r="F4" s="63"/>
      <c r="G4" s="63"/>
      <c r="H4" s="63"/>
      <c r="I4" s="63"/>
      <c r="J4" s="55"/>
      <c r="K4" s="63"/>
      <c r="L4" s="55"/>
      <c r="M4" s="55"/>
      <c r="N4" s="55"/>
      <c r="O4" s="55"/>
      <c r="P4" s="55"/>
      <c r="Q4" s="55"/>
      <c r="R4" s="55"/>
      <c r="S4" s="55"/>
      <c r="T4" s="55"/>
      <c r="U4" s="55"/>
      <c r="V4" s="55"/>
      <c r="W4" s="55"/>
      <c r="X4" s="55"/>
    </row>
    <row r="5" spans="1:24" ht="14.5" x14ac:dyDescent="0.35">
      <c r="A5" s="55" t="s">
        <v>82</v>
      </c>
      <c r="B5" s="64">
        <v>3823372.95</v>
      </c>
      <c r="C5" s="58"/>
      <c r="D5" s="55"/>
      <c r="E5" s="62"/>
      <c r="F5" s="63"/>
      <c r="G5" s="63"/>
      <c r="H5" s="63"/>
      <c r="I5" s="63"/>
      <c r="J5" s="55"/>
      <c r="K5" s="63"/>
      <c r="L5" s="55"/>
      <c r="M5" s="55"/>
      <c r="N5" s="55"/>
      <c r="O5" s="55"/>
      <c r="P5" s="55"/>
      <c r="Q5" s="55"/>
      <c r="R5" s="55"/>
      <c r="S5" s="55"/>
      <c r="T5" s="55"/>
      <c r="U5" s="55"/>
      <c r="V5" s="55"/>
      <c r="W5" s="55"/>
      <c r="X5" s="55"/>
    </row>
    <row r="6" spans="1:24" ht="14.5" x14ac:dyDescent="0.35">
      <c r="A6" s="55" t="s">
        <v>83</v>
      </c>
      <c r="B6" s="65">
        <v>3932339.08</v>
      </c>
      <c r="C6" s="58"/>
      <c r="D6" s="55"/>
      <c r="E6" s="62"/>
      <c r="F6" s="58"/>
      <c r="G6" s="63"/>
      <c r="H6" s="63"/>
      <c r="I6" s="63"/>
      <c r="J6" s="55"/>
      <c r="K6" s="63"/>
      <c r="L6" s="55"/>
      <c r="M6" s="55"/>
      <c r="N6" s="55"/>
      <c r="O6" s="55"/>
      <c r="P6" s="55"/>
      <c r="Q6" s="55"/>
      <c r="R6" s="55"/>
      <c r="S6" s="55"/>
      <c r="T6" s="55"/>
      <c r="U6" s="55"/>
      <c r="V6" s="55"/>
      <c r="W6" s="55"/>
      <c r="X6" s="55"/>
    </row>
    <row r="7" spans="1:24" ht="14.5" x14ac:dyDescent="0.35">
      <c r="A7" s="55" t="s">
        <v>0</v>
      </c>
      <c r="B7" s="58"/>
      <c r="C7" s="58">
        <f>B4*A4*0.17</f>
        <v>0</v>
      </c>
      <c r="D7" s="55"/>
      <c r="E7" s="62"/>
      <c r="F7" s="58"/>
      <c r="G7" s="63"/>
      <c r="H7" s="63"/>
      <c r="I7" s="63"/>
      <c r="J7" s="55"/>
      <c r="K7" s="66"/>
      <c r="L7" s="60"/>
      <c r="M7" s="60"/>
      <c r="N7" s="55"/>
      <c r="O7" s="55"/>
      <c r="P7" s="55"/>
      <c r="Q7" s="55"/>
      <c r="R7" s="55"/>
      <c r="S7" s="55"/>
      <c r="T7" s="55"/>
      <c r="U7" s="55"/>
      <c r="V7" s="55"/>
      <c r="W7" s="55"/>
      <c r="X7" s="55"/>
    </row>
    <row r="8" spans="1:24" ht="14.5" hidden="1" x14ac:dyDescent="0.35">
      <c r="A8" s="55"/>
      <c r="B8" s="55"/>
      <c r="C8" s="55"/>
      <c r="D8" s="55"/>
      <c r="E8" s="62"/>
      <c r="F8" s="63"/>
      <c r="G8" s="63"/>
      <c r="H8" s="63"/>
      <c r="I8" s="63"/>
      <c r="J8" s="55"/>
      <c r="K8" s="66"/>
      <c r="L8" s="60"/>
      <c r="M8" s="60"/>
      <c r="N8" s="55"/>
      <c r="O8" s="55"/>
      <c r="P8" s="55"/>
      <c r="Q8" s="55"/>
      <c r="R8" s="55"/>
      <c r="S8" s="55"/>
      <c r="T8" s="55"/>
      <c r="U8" s="55"/>
      <c r="V8" s="55"/>
      <c r="W8" s="55"/>
      <c r="X8" s="55"/>
    </row>
    <row r="9" spans="1:24" ht="14.5" hidden="1" x14ac:dyDescent="0.35">
      <c r="A9" s="55"/>
      <c r="B9" s="55"/>
      <c r="C9" s="55"/>
      <c r="D9" s="55"/>
      <c r="E9" s="62"/>
      <c r="F9" s="63"/>
      <c r="G9" s="63"/>
      <c r="H9" s="63"/>
      <c r="I9" s="63"/>
      <c r="J9" s="55"/>
      <c r="K9" s="63"/>
      <c r="L9" s="55"/>
      <c r="M9" s="55"/>
      <c r="N9" s="55"/>
      <c r="O9" s="55"/>
      <c r="P9" s="55"/>
      <c r="Q9" s="55"/>
      <c r="R9" s="55"/>
      <c r="S9" s="55"/>
      <c r="T9" s="55"/>
      <c r="U9" s="55"/>
      <c r="V9" s="55"/>
      <c r="W9" s="55"/>
      <c r="X9" s="55"/>
    </row>
    <row r="10" spans="1:24" ht="14.5" hidden="1" x14ac:dyDescent="0.35">
      <c r="A10" s="55"/>
      <c r="B10" s="55"/>
      <c r="C10" s="55"/>
      <c r="D10" s="55"/>
      <c r="E10" s="62"/>
      <c r="F10" s="63"/>
      <c r="G10" s="63"/>
      <c r="H10" s="63"/>
      <c r="I10" s="63"/>
      <c r="J10" s="55"/>
      <c r="K10" s="63"/>
      <c r="L10" s="55"/>
      <c r="M10" s="55"/>
      <c r="N10" s="63"/>
      <c r="O10" s="55"/>
      <c r="P10" s="55"/>
      <c r="Q10" s="55"/>
      <c r="R10" s="55"/>
      <c r="S10" s="55"/>
      <c r="T10" s="55"/>
      <c r="U10" s="55"/>
      <c r="V10" s="55"/>
      <c r="W10" s="55"/>
      <c r="X10" s="55"/>
    </row>
    <row r="11" spans="1:24" ht="14.5" hidden="1" x14ac:dyDescent="0.35">
      <c r="A11" s="55"/>
      <c r="B11" s="55"/>
      <c r="C11" s="55"/>
      <c r="D11" s="55"/>
      <c r="E11" s="62"/>
      <c r="F11" s="63"/>
      <c r="G11" s="63"/>
      <c r="H11" s="63"/>
      <c r="I11" s="63"/>
      <c r="J11" s="55"/>
      <c r="K11" s="63"/>
      <c r="L11" s="55"/>
      <c r="M11" s="55"/>
      <c r="N11" s="63"/>
      <c r="O11" s="55"/>
      <c r="P11" s="55"/>
      <c r="Q11" s="55"/>
      <c r="R11" s="55"/>
      <c r="S11" s="55"/>
      <c r="T11" s="55"/>
      <c r="U11" s="55"/>
      <c r="V11" s="55"/>
      <c r="W11" s="55"/>
      <c r="X11" s="55"/>
    </row>
    <row r="12" spans="1:24" ht="14.5" hidden="1" x14ac:dyDescent="0.35">
      <c r="A12" s="55"/>
      <c r="B12" s="55"/>
      <c r="C12" s="55"/>
      <c r="D12" s="55"/>
      <c r="E12" s="62"/>
      <c r="F12" s="63"/>
      <c r="G12" s="63"/>
      <c r="H12" s="63"/>
      <c r="I12" s="63"/>
      <c r="J12" s="55"/>
      <c r="K12" s="63"/>
      <c r="L12" s="55"/>
      <c r="M12" s="55"/>
      <c r="N12" s="63"/>
      <c r="O12" s="55"/>
      <c r="P12" s="55"/>
      <c r="Q12" s="55"/>
      <c r="R12" s="55"/>
      <c r="S12" s="55"/>
      <c r="T12" s="55"/>
      <c r="U12" s="55"/>
      <c r="V12" s="55"/>
      <c r="W12" s="55"/>
      <c r="X12" s="55"/>
    </row>
    <row r="13" spans="1:24" ht="14.5" hidden="1" x14ac:dyDescent="0.35">
      <c r="A13" s="55"/>
      <c r="B13" s="55"/>
      <c r="C13" s="55"/>
      <c r="D13" s="55"/>
      <c r="E13" s="62"/>
      <c r="F13" s="63"/>
      <c r="G13" s="63"/>
      <c r="H13" s="63"/>
      <c r="I13" s="63"/>
      <c r="J13" s="55"/>
      <c r="K13" s="63"/>
      <c r="L13" s="55"/>
      <c r="M13" s="55"/>
      <c r="N13" s="55"/>
      <c r="O13" s="55"/>
      <c r="P13" s="55"/>
      <c r="Q13" s="55"/>
      <c r="R13" s="55"/>
      <c r="S13" s="55"/>
      <c r="T13" s="55"/>
      <c r="U13" s="55"/>
      <c r="V13" s="55"/>
      <c r="W13" s="55"/>
      <c r="X13" s="55"/>
    </row>
    <row r="14" spans="1:24" ht="14.5" hidden="1" x14ac:dyDescent="0.35">
      <c r="A14" s="55"/>
      <c r="B14" s="55"/>
      <c r="C14" s="55"/>
      <c r="D14" s="55"/>
      <c r="E14" s="62"/>
      <c r="F14" s="63"/>
      <c r="G14" s="63"/>
      <c r="H14" s="63"/>
      <c r="I14" s="63"/>
      <c r="J14" s="55"/>
      <c r="K14" s="63"/>
      <c r="L14" s="55"/>
      <c r="M14" s="55"/>
      <c r="N14" s="55"/>
      <c r="O14" s="55"/>
      <c r="P14" s="55"/>
      <c r="Q14" s="55"/>
      <c r="R14" s="55"/>
      <c r="S14" s="55"/>
      <c r="T14" s="55"/>
      <c r="U14" s="55"/>
      <c r="V14" s="55"/>
      <c r="W14" s="55"/>
      <c r="X14" s="55"/>
    </row>
    <row r="15" spans="1:24" ht="14.5" hidden="1" x14ac:dyDescent="0.35">
      <c r="A15" s="55"/>
      <c r="B15" s="55"/>
      <c r="C15" s="55"/>
      <c r="D15" s="55"/>
      <c r="E15" s="62"/>
      <c r="F15" s="63"/>
      <c r="G15" s="63"/>
      <c r="H15" s="63"/>
      <c r="I15" s="63"/>
      <c r="J15" s="55"/>
      <c r="K15" s="63"/>
      <c r="L15" s="55"/>
      <c r="M15" s="55"/>
      <c r="N15" s="55"/>
      <c r="O15" s="55"/>
      <c r="P15" s="55"/>
      <c r="Q15" s="55"/>
      <c r="R15" s="55"/>
      <c r="S15" s="55"/>
      <c r="T15" s="55"/>
      <c r="U15" s="55"/>
      <c r="V15" s="55"/>
      <c r="W15" s="55"/>
      <c r="X15" s="55"/>
    </row>
    <row r="16" spans="1:24" ht="14.5" x14ac:dyDescent="0.35">
      <c r="A16" s="55" t="s">
        <v>84</v>
      </c>
      <c r="B16" s="65">
        <v>4045590.45</v>
      </c>
      <c r="C16" s="55"/>
      <c r="D16" s="55"/>
      <c r="E16" s="62"/>
      <c r="F16" s="58"/>
      <c r="G16" s="63"/>
      <c r="H16" s="63"/>
      <c r="I16" s="63"/>
      <c r="J16" s="55"/>
      <c r="K16" s="63"/>
      <c r="L16" s="55"/>
      <c r="M16" s="55"/>
      <c r="N16" s="55"/>
      <c r="O16" s="55"/>
      <c r="P16" s="55"/>
      <c r="Q16" s="55"/>
      <c r="R16" s="55"/>
      <c r="S16" s="55"/>
      <c r="T16" s="55"/>
      <c r="U16" s="55"/>
      <c r="V16" s="55"/>
      <c r="W16" s="55"/>
      <c r="X16" s="55"/>
    </row>
    <row r="17" spans="1:24" ht="14.5" x14ac:dyDescent="0.35">
      <c r="A17" s="55" t="s">
        <v>85</v>
      </c>
      <c r="B17" s="67">
        <v>3128545.73</v>
      </c>
      <c r="C17" s="55"/>
      <c r="D17" s="55"/>
      <c r="E17" s="62"/>
      <c r="F17" s="58"/>
      <c r="G17" s="63"/>
      <c r="H17" s="63"/>
      <c r="I17" s="63"/>
      <c r="J17" s="55"/>
      <c r="K17" s="63"/>
      <c r="L17" s="55"/>
      <c r="M17" s="55"/>
      <c r="N17" s="55"/>
      <c r="O17" s="55"/>
      <c r="P17" s="55"/>
      <c r="Q17" s="55"/>
      <c r="R17" s="55"/>
      <c r="S17" s="55"/>
      <c r="T17" s="55"/>
      <c r="U17" s="55"/>
      <c r="V17" s="55"/>
      <c r="W17" s="55"/>
      <c r="X17" s="55"/>
    </row>
    <row r="18" spans="1:24" ht="14.5" x14ac:dyDescent="0.35">
      <c r="A18" s="55" t="s">
        <v>86</v>
      </c>
      <c r="B18" s="68">
        <v>3245240.49</v>
      </c>
      <c r="C18" s="58"/>
      <c r="D18" s="55"/>
      <c r="E18" s="62"/>
      <c r="F18" s="63"/>
      <c r="G18" s="63"/>
      <c r="H18" s="63"/>
      <c r="I18" s="63"/>
      <c r="J18" s="55"/>
      <c r="K18" s="63"/>
      <c r="L18" s="55"/>
      <c r="M18" s="55"/>
      <c r="N18" s="55"/>
      <c r="O18" s="55"/>
      <c r="P18" s="55"/>
      <c r="Q18" s="55"/>
      <c r="R18" s="55"/>
      <c r="S18" s="55"/>
      <c r="T18" s="55"/>
      <c r="U18" s="55"/>
      <c r="V18" s="55"/>
      <c r="W18" s="55"/>
      <c r="X18" s="55"/>
    </row>
    <row r="19" spans="1:24" ht="14.5" x14ac:dyDescent="0.35">
      <c r="A19" s="55" t="s">
        <v>87</v>
      </c>
      <c r="B19" s="69">
        <v>3335458.18</v>
      </c>
      <c r="C19" s="58">
        <f t="shared" ref="C19" si="0">B19/2</f>
        <v>1667729.09</v>
      </c>
      <c r="D19" s="55"/>
      <c r="E19" s="62"/>
      <c r="F19" s="55"/>
      <c r="G19" s="55"/>
      <c r="H19" s="55"/>
      <c r="I19" s="55"/>
      <c r="J19" s="55"/>
      <c r="K19" s="55"/>
      <c r="L19" s="55"/>
      <c r="M19" s="55"/>
      <c r="N19" s="55"/>
      <c r="O19" s="55"/>
      <c r="P19" s="55"/>
      <c r="Q19" s="55"/>
      <c r="R19" s="55"/>
      <c r="S19" s="55"/>
      <c r="T19" s="55"/>
      <c r="U19" s="55"/>
      <c r="V19" s="55"/>
      <c r="W19" s="55"/>
      <c r="X19" s="55"/>
    </row>
    <row r="20" spans="1:24" ht="14.5" x14ac:dyDescent="0.35">
      <c r="A20" s="55" t="s">
        <v>88</v>
      </c>
      <c r="B20" s="69">
        <v>3385490.05</v>
      </c>
      <c r="C20" s="55"/>
      <c r="D20" s="55"/>
      <c r="E20" s="62"/>
      <c r="F20" s="55"/>
      <c r="G20" s="58"/>
      <c r="H20" s="55"/>
      <c r="I20" s="55"/>
      <c r="J20" s="55"/>
      <c r="K20" s="55"/>
      <c r="L20" s="55"/>
      <c r="M20" s="55"/>
      <c r="N20" s="55"/>
      <c r="O20" s="55"/>
      <c r="P20" s="55"/>
      <c r="Q20" s="55"/>
      <c r="R20" s="55"/>
      <c r="S20" s="55"/>
      <c r="T20" s="55"/>
      <c r="U20" s="55"/>
      <c r="V20" s="55"/>
      <c r="W20" s="55"/>
      <c r="X20" s="55"/>
    </row>
    <row r="21" spans="1:24" ht="15.75" customHeight="1" x14ac:dyDescent="0.35">
      <c r="A21" s="55" t="s">
        <v>89</v>
      </c>
      <c r="B21" s="69">
        <v>3440334.99</v>
      </c>
      <c r="C21" s="58">
        <f>B21/2</f>
        <v>1720167.4950000001</v>
      </c>
      <c r="D21" s="55"/>
      <c r="E21" s="62"/>
      <c r="F21" s="55"/>
      <c r="G21" s="55"/>
      <c r="H21" s="55"/>
      <c r="I21" s="55"/>
      <c r="J21" s="55"/>
      <c r="K21" s="55"/>
      <c r="L21" s="55"/>
      <c r="M21" s="55"/>
      <c r="N21" s="55"/>
      <c r="O21" s="55"/>
      <c r="P21" s="55"/>
      <c r="Q21" s="55"/>
      <c r="R21" s="55"/>
      <c r="S21" s="55"/>
      <c r="T21" s="55"/>
      <c r="U21" s="55"/>
      <c r="V21" s="55"/>
      <c r="W21" s="55"/>
      <c r="X21" s="55"/>
    </row>
    <row r="22" spans="1:24" ht="15.75" customHeight="1" x14ac:dyDescent="0.35">
      <c r="A22" s="55" t="s">
        <v>90</v>
      </c>
      <c r="B22" s="70">
        <v>3505701.35</v>
      </c>
      <c r="C22" s="55"/>
      <c r="D22" s="55"/>
      <c r="E22" s="62"/>
      <c r="F22" s="55"/>
      <c r="G22" s="55"/>
      <c r="H22" s="55"/>
      <c r="I22" s="55"/>
      <c r="J22" s="55"/>
      <c r="K22" s="55"/>
      <c r="L22" s="55"/>
      <c r="M22" s="55"/>
      <c r="N22" s="55"/>
      <c r="O22" s="55"/>
      <c r="P22" s="55"/>
      <c r="Q22" s="55"/>
      <c r="R22" s="55"/>
      <c r="S22" s="55"/>
      <c r="T22" s="55"/>
      <c r="U22" s="55"/>
      <c r="V22" s="55"/>
      <c r="W22" s="55"/>
      <c r="X22" s="55"/>
    </row>
    <row r="23" spans="1:24" ht="15.75" customHeight="1" x14ac:dyDescent="0.35">
      <c r="A23" s="55" t="s">
        <v>91</v>
      </c>
      <c r="B23" s="71">
        <v>3571608.54</v>
      </c>
      <c r="C23" s="55"/>
      <c r="D23" s="55"/>
      <c r="E23" s="62"/>
      <c r="F23" s="55"/>
      <c r="G23" s="55"/>
      <c r="H23" s="55"/>
      <c r="I23" s="55"/>
      <c r="J23" s="55"/>
      <c r="K23" s="55"/>
      <c r="L23" s="55"/>
      <c r="M23" s="55"/>
      <c r="N23" s="55"/>
      <c r="O23" s="55"/>
      <c r="P23" s="55"/>
      <c r="Q23" s="55"/>
      <c r="R23" s="55"/>
      <c r="S23" s="55"/>
      <c r="T23" s="55"/>
      <c r="U23" s="55"/>
      <c r="V23" s="55"/>
      <c r="W23" s="55"/>
      <c r="X23" s="55"/>
    </row>
    <row r="24" spans="1:24" ht="15.75" customHeight="1" x14ac:dyDescent="0.35">
      <c r="A24" s="55" t="s">
        <v>92</v>
      </c>
      <c r="B24" s="71">
        <v>3645898</v>
      </c>
      <c r="C24" s="55"/>
      <c r="D24" s="55"/>
      <c r="E24" s="62"/>
      <c r="F24" s="55"/>
      <c r="G24" s="55" t="s">
        <v>1</v>
      </c>
      <c r="H24" s="55"/>
      <c r="I24" s="55"/>
      <c r="J24" s="55"/>
      <c r="K24" s="55"/>
      <c r="L24" s="55"/>
      <c r="M24" s="55"/>
      <c r="N24" s="55"/>
      <c r="O24" s="55"/>
      <c r="P24" s="55"/>
      <c r="Q24" s="55"/>
      <c r="R24" s="55"/>
      <c r="S24" s="55"/>
      <c r="T24" s="55"/>
      <c r="U24" s="55"/>
      <c r="V24" s="55"/>
      <c r="W24" s="55"/>
      <c r="X24" s="55"/>
    </row>
    <row r="25" spans="1:24" ht="15.75" customHeight="1" x14ac:dyDescent="0.35">
      <c r="A25" s="55" t="s">
        <v>93</v>
      </c>
      <c r="B25" s="72">
        <v>3731212.01</v>
      </c>
      <c r="C25" s="58">
        <f>B25/2</f>
        <v>1865606.0049999999</v>
      </c>
      <c r="D25" s="55"/>
      <c r="E25" s="62"/>
      <c r="F25" s="55"/>
      <c r="G25" s="55">
        <f>G28/7</f>
        <v>0</v>
      </c>
      <c r="H25" s="55"/>
      <c r="I25" s="55"/>
      <c r="J25" s="55"/>
      <c r="K25" s="55"/>
      <c r="L25" s="55"/>
      <c r="M25" s="55"/>
      <c r="N25" s="55"/>
      <c r="O25" s="55"/>
      <c r="P25" s="55"/>
      <c r="Q25" s="55"/>
      <c r="R25" s="55"/>
      <c r="S25" s="55"/>
      <c r="T25" s="55"/>
      <c r="U25" s="55"/>
      <c r="V25" s="55"/>
      <c r="W25" s="55"/>
      <c r="X25" s="55"/>
    </row>
    <row r="26" spans="1:24" ht="15.75" customHeight="1" x14ac:dyDescent="0.35">
      <c r="A26" s="52"/>
      <c r="B26" s="53">
        <v>46023</v>
      </c>
      <c r="C26" s="53">
        <v>46054</v>
      </c>
      <c r="D26" s="53">
        <v>46082</v>
      </c>
      <c r="E26" s="53">
        <v>46113</v>
      </c>
      <c r="F26" s="53">
        <v>46143</v>
      </c>
      <c r="G26" s="53">
        <v>46174</v>
      </c>
      <c r="H26" s="53">
        <v>46204</v>
      </c>
      <c r="I26" s="53">
        <v>46235</v>
      </c>
      <c r="J26" s="53">
        <v>46266</v>
      </c>
      <c r="K26" s="53">
        <v>46296</v>
      </c>
      <c r="L26" s="53">
        <v>46327</v>
      </c>
      <c r="M26" s="53">
        <v>46357</v>
      </c>
      <c r="N26" s="73"/>
      <c r="O26" s="55"/>
      <c r="P26" s="55"/>
      <c r="Q26" s="55"/>
      <c r="R26" s="55"/>
      <c r="S26" s="55"/>
      <c r="T26" s="55"/>
      <c r="U26" s="55"/>
      <c r="V26" s="55"/>
      <c r="W26" s="55"/>
      <c r="X26" s="55"/>
    </row>
    <row r="27" spans="1:24" ht="15.75" customHeight="1" x14ac:dyDescent="0.35">
      <c r="A27" s="55" t="s">
        <v>2</v>
      </c>
      <c r="B27" s="74">
        <v>3835388</v>
      </c>
      <c r="C27" s="1">
        <f>B27</f>
        <v>3835388</v>
      </c>
      <c r="D27" s="1">
        <f t="shared" ref="D27:M27" si="1">C27</f>
        <v>3835388</v>
      </c>
      <c r="E27" s="1">
        <f t="shared" si="1"/>
        <v>3835388</v>
      </c>
      <c r="F27" s="1">
        <f t="shared" si="1"/>
        <v>3835388</v>
      </c>
      <c r="G27" s="1">
        <f t="shared" si="1"/>
        <v>3835388</v>
      </c>
      <c r="H27" s="1">
        <f t="shared" si="1"/>
        <v>3835388</v>
      </c>
      <c r="I27" s="1">
        <f t="shared" si="1"/>
        <v>3835388</v>
      </c>
      <c r="J27" s="1">
        <f t="shared" si="1"/>
        <v>3835388</v>
      </c>
      <c r="K27" s="1">
        <f t="shared" si="1"/>
        <v>3835388</v>
      </c>
      <c r="L27" s="1">
        <f t="shared" si="1"/>
        <v>3835388</v>
      </c>
      <c r="M27" s="1">
        <f t="shared" si="1"/>
        <v>3835388</v>
      </c>
      <c r="N27" s="75">
        <f t="shared" ref="N27:N33" si="2">SUM(B27:M27)</f>
        <v>46024656</v>
      </c>
      <c r="O27" s="55"/>
      <c r="P27" s="55"/>
      <c r="Q27" s="55"/>
      <c r="R27" s="55"/>
      <c r="S27" s="55"/>
      <c r="T27" s="55"/>
      <c r="U27" s="55"/>
      <c r="V27" s="55"/>
      <c r="W27" s="55"/>
      <c r="X27" s="55"/>
    </row>
    <row r="28" spans="1:24" ht="15.75" customHeight="1" x14ac:dyDescent="0.35">
      <c r="A28" s="55" t="s">
        <v>3</v>
      </c>
      <c r="B28" s="75">
        <v>178984.77333333343</v>
      </c>
      <c r="C28" s="76"/>
      <c r="D28" s="63"/>
      <c r="E28" s="63"/>
      <c r="F28" s="63"/>
      <c r="G28" s="63"/>
      <c r="H28" s="63"/>
      <c r="I28" s="63"/>
      <c r="J28" s="63"/>
      <c r="K28" s="63"/>
      <c r="L28" s="63"/>
      <c r="M28" s="63"/>
      <c r="N28" s="75">
        <f t="shared" si="2"/>
        <v>178984.77333333343</v>
      </c>
      <c r="O28" s="55"/>
      <c r="P28" s="55"/>
      <c r="Q28" s="55"/>
      <c r="R28" s="55"/>
      <c r="S28" s="55"/>
      <c r="T28" s="55"/>
      <c r="U28" s="55"/>
      <c r="V28" s="55"/>
      <c r="W28" s="55"/>
      <c r="X28" s="55"/>
    </row>
    <row r="29" spans="1:24" ht="15.75" customHeight="1" x14ac:dyDescent="0.35">
      <c r="A29" s="55" t="s">
        <v>4</v>
      </c>
      <c r="B29" s="75"/>
      <c r="C29" s="63"/>
      <c r="D29" s="63"/>
      <c r="E29" s="63"/>
      <c r="F29" s="63"/>
      <c r="G29" s="63">
        <f>G27/2</f>
        <v>1917694</v>
      </c>
      <c r="H29" s="63"/>
      <c r="I29" s="63"/>
      <c r="J29" s="63"/>
      <c r="K29" s="63"/>
      <c r="L29" s="63"/>
      <c r="M29" s="63">
        <f>M27/2</f>
        <v>1917694</v>
      </c>
      <c r="N29" s="75">
        <f t="shared" si="2"/>
        <v>3835388</v>
      </c>
      <c r="O29" s="55"/>
      <c r="P29" s="55"/>
      <c r="Q29" s="55"/>
      <c r="R29" s="55"/>
      <c r="S29" s="55"/>
      <c r="T29" s="55"/>
      <c r="U29" s="55"/>
      <c r="V29" s="55"/>
      <c r="W29" s="55"/>
      <c r="X29" s="55"/>
    </row>
    <row r="30" spans="1:24" ht="15.75" customHeight="1" x14ac:dyDescent="0.35">
      <c r="A30" s="55" t="s">
        <v>5</v>
      </c>
      <c r="B30" s="75">
        <f>(B27)/12</f>
        <v>319615.66666666669</v>
      </c>
      <c r="C30" s="75">
        <f t="shared" ref="C30:F30" si="3">(C27)/12</f>
        <v>319615.66666666669</v>
      </c>
      <c r="D30" s="75">
        <f t="shared" si="3"/>
        <v>319615.66666666669</v>
      </c>
      <c r="E30" s="75">
        <f t="shared" si="3"/>
        <v>319615.66666666669</v>
      </c>
      <c r="F30" s="75">
        <f t="shared" si="3"/>
        <v>319615.66666666669</v>
      </c>
      <c r="G30" s="63"/>
      <c r="H30" s="75">
        <f t="shared" ref="H30:L30" si="4">(H27)/12</f>
        <v>319615.66666666669</v>
      </c>
      <c r="I30" s="75">
        <f t="shared" si="4"/>
        <v>319615.66666666669</v>
      </c>
      <c r="J30" s="75">
        <f t="shared" si="4"/>
        <v>319615.66666666669</v>
      </c>
      <c r="K30" s="75">
        <f t="shared" si="4"/>
        <v>319615.66666666669</v>
      </c>
      <c r="L30" s="75">
        <f t="shared" si="4"/>
        <v>319615.66666666669</v>
      </c>
      <c r="M30" s="63"/>
      <c r="N30" s="75">
        <f t="shared" si="2"/>
        <v>3196156.6666666665</v>
      </c>
      <c r="O30" s="55"/>
      <c r="P30" s="55"/>
      <c r="Q30" s="55"/>
      <c r="R30" s="55"/>
      <c r="S30" s="55"/>
      <c r="T30" s="55"/>
      <c r="U30" s="55"/>
      <c r="V30" s="55"/>
      <c r="W30" s="55"/>
      <c r="X30" s="55"/>
    </row>
    <row r="31" spans="1:24" ht="15.75" customHeight="1" x14ac:dyDescent="0.35">
      <c r="A31" s="55"/>
      <c r="B31" s="77">
        <f t="shared" ref="B31:D31" si="5">+B27+B30</f>
        <v>4155003.6666666665</v>
      </c>
      <c r="C31" s="78">
        <f t="shared" si="5"/>
        <v>4155003.6666666665</v>
      </c>
      <c r="D31" s="78">
        <f t="shared" si="5"/>
        <v>4155003.6666666665</v>
      </c>
      <c r="E31" s="78">
        <f>SUM(E27:E30)</f>
        <v>4155003.6666666665</v>
      </c>
      <c r="F31" s="78">
        <f>+F27+F30</f>
        <v>4155003.6666666665</v>
      </c>
      <c r="G31" s="78">
        <f>SUM(G27:G30)</f>
        <v>5753082</v>
      </c>
      <c r="H31" s="78">
        <f>+H27+H30</f>
        <v>4155003.6666666665</v>
      </c>
      <c r="I31" s="78">
        <f t="shared" ref="I31:J31" si="6">SUM(I27:I30)</f>
        <v>4155003.6666666665</v>
      </c>
      <c r="J31" s="78">
        <f t="shared" si="6"/>
        <v>4155003.6666666665</v>
      </c>
      <c r="K31" s="78">
        <f t="shared" ref="K31:L31" si="7">+K27+K30</f>
        <v>4155003.6666666665</v>
      </c>
      <c r="L31" s="78">
        <f t="shared" si="7"/>
        <v>4155003.6666666665</v>
      </c>
      <c r="M31" s="78">
        <f>SUM(M27:M30)</f>
        <v>5753082</v>
      </c>
      <c r="N31" s="75">
        <f t="shared" si="2"/>
        <v>53056200.666666657</v>
      </c>
      <c r="O31" s="55"/>
      <c r="P31" s="55"/>
      <c r="Q31" s="55"/>
      <c r="R31" s="55"/>
      <c r="S31" s="55"/>
      <c r="T31" s="55"/>
      <c r="U31" s="55"/>
      <c r="V31" s="55"/>
      <c r="W31" s="55"/>
      <c r="X31" s="55"/>
    </row>
    <row r="32" spans="1:24" ht="15.75" customHeight="1" x14ac:dyDescent="0.35">
      <c r="A32" s="55" t="s">
        <v>6</v>
      </c>
      <c r="B32" s="79"/>
      <c r="C32" s="66"/>
      <c r="D32" s="66"/>
      <c r="E32" s="66"/>
      <c r="F32" s="66"/>
      <c r="G32" s="66"/>
      <c r="H32" s="66"/>
      <c r="I32" s="66"/>
      <c r="J32" s="66"/>
      <c r="K32" s="66"/>
      <c r="L32" s="66"/>
      <c r="M32" s="66"/>
      <c r="N32" s="75">
        <f t="shared" si="2"/>
        <v>0</v>
      </c>
      <c r="O32" s="55"/>
      <c r="P32" s="55"/>
      <c r="Q32" s="55"/>
      <c r="R32" s="55"/>
      <c r="S32" s="55"/>
      <c r="T32" s="55"/>
      <c r="U32" s="55"/>
      <c r="V32" s="55"/>
      <c r="W32" s="55"/>
      <c r="X32" s="55"/>
    </row>
    <row r="33" spans="1:24" ht="15.75" customHeight="1" x14ac:dyDescent="0.35">
      <c r="A33" s="55" t="s">
        <v>7</v>
      </c>
      <c r="B33" s="80"/>
      <c r="C33" s="66"/>
      <c r="D33" s="66"/>
      <c r="E33" s="66"/>
      <c r="F33" s="66"/>
      <c r="G33" s="66"/>
      <c r="H33" s="66"/>
      <c r="I33" s="66"/>
      <c r="J33" s="66"/>
      <c r="K33" s="66"/>
      <c r="L33" s="66"/>
      <c r="M33" s="66"/>
      <c r="N33" s="75">
        <f t="shared" si="2"/>
        <v>0</v>
      </c>
      <c r="O33" s="55"/>
      <c r="P33" s="55"/>
      <c r="Q33" s="55"/>
      <c r="R33" s="55"/>
      <c r="S33" s="55"/>
      <c r="T33" s="55"/>
      <c r="U33" s="55"/>
      <c r="V33" s="55"/>
      <c r="W33" s="55"/>
      <c r="X33" s="55"/>
    </row>
    <row r="34" spans="1:24" ht="15.75" customHeight="1" x14ac:dyDescent="0.35">
      <c r="A34" s="58"/>
      <c r="B34" s="79"/>
      <c r="C34" s="66"/>
      <c r="D34" s="66"/>
      <c r="E34" s="66"/>
      <c r="F34" s="66"/>
      <c r="G34" s="66"/>
      <c r="H34" s="66"/>
      <c r="I34" s="66"/>
      <c r="J34" s="66"/>
      <c r="K34" s="66"/>
      <c r="L34" s="66"/>
      <c r="M34" s="66"/>
      <c r="N34" s="75"/>
      <c r="O34" s="55"/>
      <c r="P34" s="55"/>
      <c r="Q34" s="55"/>
      <c r="R34" s="55"/>
      <c r="S34" s="55"/>
      <c r="T34" s="55"/>
      <c r="U34" s="55"/>
      <c r="V34" s="55"/>
      <c r="W34" s="55"/>
      <c r="X34" s="55"/>
    </row>
    <row r="35" spans="1:24" ht="15.75" customHeight="1" x14ac:dyDescent="0.35">
      <c r="A35" s="58"/>
      <c r="B35" s="79"/>
      <c r="C35" s="66"/>
      <c r="D35" s="66"/>
      <c r="E35" s="66"/>
      <c r="F35" s="66"/>
      <c r="G35" s="66"/>
      <c r="H35" s="66"/>
      <c r="I35" s="66"/>
      <c r="J35" s="66"/>
      <c r="K35" s="66"/>
      <c r="L35" s="66"/>
      <c r="M35" s="66"/>
      <c r="N35" s="75"/>
      <c r="O35" s="55"/>
      <c r="P35" s="55"/>
      <c r="Q35" s="55"/>
      <c r="R35" s="55"/>
      <c r="S35" s="55"/>
      <c r="T35" s="55"/>
      <c r="U35" s="55"/>
      <c r="V35" s="55"/>
      <c r="W35" s="55"/>
      <c r="X35" s="55"/>
    </row>
    <row r="36" spans="1:24" ht="15.75" customHeight="1" x14ac:dyDescent="0.35">
      <c r="A36" s="58"/>
      <c r="B36" s="75"/>
      <c r="C36" s="63"/>
      <c r="D36" s="63"/>
      <c r="E36" s="63"/>
      <c r="F36" s="63"/>
      <c r="G36" s="63"/>
      <c r="H36" s="63"/>
      <c r="I36" s="63"/>
      <c r="J36" s="63"/>
      <c r="K36" s="63"/>
      <c r="L36" s="63"/>
      <c r="M36" s="63"/>
      <c r="N36" s="75"/>
      <c r="O36" s="55"/>
      <c r="P36" s="55"/>
      <c r="Q36" s="55"/>
      <c r="R36" s="55"/>
      <c r="S36" s="55"/>
      <c r="T36" s="55"/>
      <c r="U36" s="55"/>
      <c r="V36" s="55"/>
      <c r="W36" s="55"/>
      <c r="X36" s="55"/>
    </row>
    <row r="37" spans="1:24" ht="15.75" customHeight="1" x14ac:dyDescent="0.35">
      <c r="A37" s="81" t="s">
        <v>8</v>
      </c>
      <c r="B37" s="75">
        <f t="shared" ref="B37:M37" si="8">B33+B27</f>
        <v>3835388</v>
      </c>
      <c r="C37" s="75">
        <f t="shared" si="8"/>
        <v>3835388</v>
      </c>
      <c r="D37" s="75">
        <f t="shared" si="8"/>
        <v>3835388</v>
      </c>
      <c r="E37" s="75">
        <f t="shared" si="8"/>
        <v>3835388</v>
      </c>
      <c r="F37" s="75">
        <f t="shared" si="8"/>
        <v>3835388</v>
      </c>
      <c r="G37" s="75">
        <f t="shared" si="8"/>
        <v>3835388</v>
      </c>
      <c r="H37" s="75">
        <f t="shared" si="8"/>
        <v>3835388</v>
      </c>
      <c r="I37" s="75">
        <f t="shared" si="8"/>
        <v>3835388</v>
      </c>
      <c r="J37" s="75">
        <f t="shared" si="8"/>
        <v>3835388</v>
      </c>
      <c r="K37" s="75">
        <f t="shared" si="8"/>
        <v>3835388</v>
      </c>
      <c r="L37" s="75">
        <f t="shared" si="8"/>
        <v>3835388</v>
      </c>
      <c r="M37" s="75">
        <f t="shared" si="8"/>
        <v>3835388</v>
      </c>
      <c r="N37" s="75">
        <f t="shared" ref="N37:N46" si="9">SUM(B37:M37)</f>
        <v>46024656</v>
      </c>
      <c r="O37" s="55"/>
      <c r="P37" s="55"/>
      <c r="Q37" s="55"/>
      <c r="R37" s="55"/>
      <c r="S37" s="55"/>
      <c r="T37" s="55"/>
      <c r="U37" s="55"/>
      <c r="V37" s="55"/>
      <c r="W37" s="55"/>
      <c r="X37" s="55"/>
    </row>
    <row r="38" spans="1:24" ht="15.75" customHeight="1" x14ac:dyDescent="0.35">
      <c r="A38" s="58"/>
      <c r="B38" s="75"/>
      <c r="C38" s="63"/>
      <c r="D38" s="63"/>
      <c r="E38" s="63"/>
      <c r="F38" s="63"/>
      <c r="G38" s="63"/>
      <c r="H38" s="63"/>
      <c r="I38" s="63"/>
      <c r="J38" s="63"/>
      <c r="K38" s="63"/>
      <c r="L38" s="63"/>
      <c r="M38" s="63"/>
      <c r="N38" s="75">
        <f t="shared" si="9"/>
        <v>0</v>
      </c>
      <c r="O38" s="55"/>
      <c r="P38" s="55"/>
      <c r="Q38" s="55"/>
      <c r="R38" s="55"/>
      <c r="S38" s="55"/>
      <c r="T38" s="55"/>
      <c r="U38" s="55"/>
      <c r="V38" s="55"/>
      <c r="W38" s="55"/>
      <c r="X38" s="55"/>
    </row>
    <row r="39" spans="1:24" ht="15.75" customHeight="1" x14ac:dyDescent="0.35">
      <c r="A39" s="55" t="s">
        <v>9</v>
      </c>
      <c r="B39" s="75">
        <f>-B5*11%</f>
        <v>-420571.0245</v>
      </c>
      <c r="C39" s="75">
        <f>-C27*11%</f>
        <v>-421892.68</v>
      </c>
      <c r="D39" s="63">
        <f>-B16*11%</f>
        <v>-445014.94950000005</v>
      </c>
      <c r="E39" s="63">
        <f>-B17*11%</f>
        <v>-344140.03029999998</v>
      </c>
      <c r="F39" s="63">
        <f>-B18*11%</f>
        <v>-356976.45390000002</v>
      </c>
      <c r="G39" s="63">
        <f>-B19*0.11</f>
        <v>-366900.39980000001</v>
      </c>
      <c r="H39" s="63">
        <f>-B20*11%</f>
        <v>-372403.90549999999</v>
      </c>
      <c r="I39" s="63">
        <f>-B21*0.11</f>
        <v>-378436.84890000004</v>
      </c>
      <c r="J39" s="63">
        <f>-B22*0.11</f>
        <v>-385627.14850000001</v>
      </c>
      <c r="K39" s="63">
        <f>-B23*0.11</f>
        <v>-392876.93940000003</v>
      </c>
      <c r="L39" s="63">
        <f>-B24*0.11</f>
        <v>-401048.78</v>
      </c>
      <c r="M39" s="63">
        <f>-B25*0.11</f>
        <v>-410433.3211</v>
      </c>
      <c r="N39" s="75">
        <f t="shared" si="9"/>
        <v>-4696322.4814000009</v>
      </c>
      <c r="O39" s="55"/>
      <c r="P39" s="55"/>
      <c r="Q39" s="55"/>
      <c r="R39" s="55"/>
      <c r="S39" s="55"/>
      <c r="T39" s="55"/>
      <c r="U39" s="55"/>
      <c r="V39" s="55"/>
      <c r="W39" s="55"/>
      <c r="X39" s="55"/>
    </row>
    <row r="40" spans="1:24" ht="15.75" customHeight="1" x14ac:dyDescent="0.35">
      <c r="A40" s="55" t="s">
        <v>10</v>
      </c>
      <c r="B40" s="75">
        <f>-B5*3%</f>
        <v>-114701.1885</v>
      </c>
      <c r="C40" s="75">
        <f>-C27*3%</f>
        <v>-115061.64</v>
      </c>
      <c r="D40" s="63">
        <f>-B16*3%</f>
        <v>-121367.7135</v>
      </c>
      <c r="E40" s="63">
        <f>-B17*3%</f>
        <v>-93856.371899999998</v>
      </c>
      <c r="F40" s="63">
        <f>-B18*3%</f>
        <v>-97357.214699999997</v>
      </c>
      <c r="G40" s="63">
        <f>-B19*0.03</f>
        <v>-100063.7454</v>
      </c>
      <c r="H40" s="63">
        <f>-B20*3%</f>
        <v>-101564.7015</v>
      </c>
      <c r="I40" s="63">
        <f>-B21*0.03</f>
        <v>-103210.0497</v>
      </c>
      <c r="J40" s="63">
        <f>-B22*0.03</f>
        <v>-105171.0405</v>
      </c>
      <c r="K40" s="63">
        <f>-B23*0.03</f>
        <v>-107148.2562</v>
      </c>
      <c r="L40" s="63">
        <f>-B24*0.03</f>
        <v>-109376.94</v>
      </c>
      <c r="M40" s="63">
        <f>-B25*0.03</f>
        <v>-111936.36029999999</v>
      </c>
      <c r="N40" s="75">
        <f t="shared" si="9"/>
        <v>-1280815.2222</v>
      </c>
      <c r="O40" s="55"/>
      <c r="P40" s="55"/>
      <c r="Q40" s="55"/>
      <c r="R40" s="55"/>
      <c r="S40" s="55"/>
      <c r="T40" s="55"/>
      <c r="U40" s="55"/>
      <c r="V40" s="55"/>
      <c r="W40" s="55"/>
      <c r="X40" s="55"/>
    </row>
    <row r="41" spans="1:24" ht="15.75" customHeight="1" x14ac:dyDescent="0.35">
      <c r="A41" s="55" t="s">
        <v>11</v>
      </c>
      <c r="B41" s="75">
        <f>-B5*3%</f>
        <v>-114701.1885</v>
      </c>
      <c r="C41" s="75">
        <f>C40</f>
        <v>-115061.64</v>
      </c>
      <c r="D41" s="63">
        <f>-B16*3%</f>
        <v>-121367.7135</v>
      </c>
      <c r="E41" s="63">
        <f>-B17*3%</f>
        <v>-93856.371899999998</v>
      </c>
      <c r="F41" s="63">
        <f>-B18*3%</f>
        <v>-97357.214699999997</v>
      </c>
      <c r="G41" s="63">
        <f>G40</f>
        <v>-100063.7454</v>
      </c>
      <c r="H41" s="63">
        <f>-B20*3%</f>
        <v>-101564.7015</v>
      </c>
      <c r="I41" s="63">
        <f>-B21*0.03</f>
        <v>-103210.0497</v>
      </c>
      <c r="J41" s="63">
        <f t="shared" ref="J41:M41" si="10">J40</f>
        <v>-105171.0405</v>
      </c>
      <c r="K41" s="63">
        <f t="shared" si="10"/>
        <v>-107148.2562</v>
      </c>
      <c r="L41" s="63">
        <f t="shared" si="10"/>
        <v>-109376.94</v>
      </c>
      <c r="M41" s="63">
        <f t="shared" si="10"/>
        <v>-111936.36029999999</v>
      </c>
      <c r="N41" s="75">
        <f t="shared" si="9"/>
        <v>-1280815.2222</v>
      </c>
      <c r="O41" s="63"/>
      <c r="P41" s="55"/>
      <c r="Q41" s="55"/>
      <c r="R41" s="55"/>
      <c r="S41" s="55"/>
      <c r="T41" s="55"/>
      <c r="U41" s="55"/>
      <c r="V41" s="55"/>
      <c r="W41" s="55"/>
      <c r="X41" s="55"/>
    </row>
    <row r="42" spans="1:24" ht="15.75" customHeight="1" x14ac:dyDescent="0.35">
      <c r="A42" s="55"/>
      <c r="B42" s="82"/>
      <c r="C42" s="83"/>
      <c r="D42" s="83"/>
      <c r="E42" s="83"/>
      <c r="F42" s="83"/>
      <c r="G42" s="83"/>
      <c r="H42" s="83"/>
      <c r="I42" s="83"/>
      <c r="J42" s="83"/>
      <c r="K42" s="83"/>
      <c r="L42" s="83"/>
      <c r="M42" s="83"/>
      <c r="N42" s="75">
        <f t="shared" si="9"/>
        <v>0</v>
      </c>
      <c r="O42" s="55"/>
      <c r="P42" s="55"/>
      <c r="Q42" s="55"/>
      <c r="R42" s="55"/>
      <c r="S42" s="55"/>
      <c r="T42" s="55"/>
      <c r="U42" s="55"/>
      <c r="V42" s="55"/>
      <c r="W42" s="55"/>
      <c r="X42" s="55"/>
    </row>
    <row r="43" spans="1:24" ht="15.75" customHeight="1" x14ac:dyDescent="0.35">
      <c r="A43" s="55" t="s">
        <v>12</v>
      </c>
      <c r="B43" s="75">
        <f t="shared" ref="B43:M43" si="11">SUM(B39:B42)</f>
        <v>-649973.40150000004</v>
      </c>
      <c r="C43" s="63">
        <f t="shared" si="11"/>
        <v>-652015.96</v>
      </c>
      <c r="D43" s="63">
        <f t="shared" si="11"/>
        <v>-687750.37650000001</v>
      </c>
      <c r="E43" s="63">
        <f t="shared" si="11"/>
        <v>-531852.77410000004</v>
      </c>
      <c r="F43" s="63">
        <f t="shared" si="11"/>
        <v>-551690.88329999999</v>
      </c>
      <c r="G43" s="63">
        <f t="shared" si="11"/>
        <v>-567027.89060000004</v>
      </c>
      <c r="H43" s="63">
        <f t="shared" si="11"/>
        <v>-575533.30849999993</v>
      </c>
      <c r="I43" s="63">
        <f t="shared" si="11"/>
        <v>-584856.94830000005</v>
      </c>
      <c r="J43" s="63">
        <f t="shared" si="11"/>
        <v>-595969.22950000002</v>
      </c>
      <c r="K43" s="63">
        <f t="shared" si="11"/>
        <v>-607173.45180000004</v>
      </c>
      <c r="L43" s="63">
        <f t="shared" si="11"/>
        <v>-619802.66</v>
      </c>
      <c r="M43" s="63">
        <f t="shared" si="11"/>
        <v>-634306.04169999994</v>
      </c>
      <c r="N43" s="75">
        <f t="shared" si="9"/>
        <v>-7257952.9258000003</v>
      </c>
      <c r="O43" s="55"/>
      <c r="P43" s="55"/>
      <c r="Q43" s="55"/>
      <c r="R43" s="55"/>
      <c r="S43" s="55"/>
      <c r="T43" s="55"/>
      <c r="U43" s="55"/>
      <c r="V43" s="55"/>
      <c r="W43" s="55"/>
      <c r="X43" s="55"/>
    </row>
    <row r="44" spans="1:24" ht="15.75" customHeight="1" x14ac:dyDescent="0.35">
      <c r="A44" s="58"/>
      <c r="B44" s="75"/>
      <c r="C44" s="63"/>
      <c r="D44" s="63"/>
      <c r="E44" s="63"/>
      <c r="F44" s="63"/>
      <c r="G44" s="63"/>
      <c r="H44" s="63"/>
      <c r="I44" s="63"/>
      <c r="J44" s="63"/>
      <c r="K44" s="63"/>
      <c r="L44" s="63"/>
      <c r="M44" s="63"/>
      <c r="N44" s="75">
        <f t="shared" si="9"/>
        <v>0</v>
      </c>
      <c r="O44" s="55"/>
      <c r="P44" s="55"/>
      <c r="Q44" s="55"/>
      <c r="R44" s="55"/>
      <c r="S44" s="55"/>
      <c r="T44" s="55"/>
      <c r="U44" s="55"/>
      <c r="V44" s="55"/>
      <c r="W44" s="55"/>
      <c r="X44" s="55"/>
    </row>
    <row r="45" spans="1:24" ht="15.75" customHeight="1" x14ac:dyDescent="0.35">
      <c r="A45" s="84" t="s">
        <v>13</v>
      </c>
      <c r="B45" s="85">
        <f>B27++B33</f>
        <v>3835388</v>
      </c>
      <c r="C45" s="85">
        <f t="shared" ref="C45:M45" si="12">C27+B45</f>
        <v>7670776</v>
      </c>
      <c r="D45" s="85">
        <f t="shared" si="12"/>
        <v>11506164</v>
      </c>
      <c r="E45" s="85">
        <f t="shared" si="12"/>
        <v>15341552</v>
      </c>
      <c r="F45" s="85">
        <f t="shared" si="12"/>
        <v>19176940</v>
      </c>
      <c r="G45" s="85">
        <f t="shared" si="12"/>
        <v>23012328</v>
      </c>
      <c r="H45" s="85">
        <f t="shared" si="12"/>
        <v>26847716</v>
      </c>
      <c r="I45" s="85">
        <f t="shared" si="12"/>
        <v>30683104</v>
      </c>
      <c r="J45" s="85">
        <f t="shared" si="12"/>
        <v>34518492</v>
      </c>
      <c r="K45" s="85">
        <f t="shared" si="12"/>
        <v>38353880</v>
      </c>
      <c r="L45" s="85">
        <f t="shared" si="12"/>
        <v>42189268</v>
      </c>
      <c r="M45" s="85">
        <f t="shared" si="12"/>
        <v>46024656</v>
      </c>
      <c r="N45" s="75">
        <f t="shared" si="9"/>
        <v>299160264</v>
      </c>
      <c r="O45" s="86"/>
      <c r="P45" s="86"/>
      <c r="Q45" s="86"/>
      <c r="R45" s="86"/>
      <c r="S45" s="86"/>
      <c r="T45" s="86"/>
      <c r="U45" s="86"/>
      <c r="V45" s="86"/>
      <c r="W45" s="86"/>
      <c r="X45" s="86"/>
    </row>
    <row r="46" spans="1:24" ht="15.75" customHeight="1" x14ac:dyDescent="0.35">
      <c r="A46" s="87"/>
      <c r="B46" s="88"/>
      <c r="C46" s="89"/>
      <c r="D46" s="89"/>
      <c r="E46" s="89"/>
      <c r="F46" s="89"/>
      <c r="G46" s="89"/>
      <c r="H46" s="89"/>
      <c r="I46" s="89"/>
      <c r="J46" s="89"/>
      <c r="K46" s="89"/>
      <c r="L46" s="89"/>
      <c r="M46" s="89"/>
      <c r="N46" s="75">
        <f t="shared" si="9"/>
        <v>0</v>
      </c>
      <c r="O46" s="87"/>
      <c r="P46" s="87"/>
      <c r="Q46" s="87"/>
      <c r="R46" s="87"/>
      <c r="S46" s="87"/>
      <c r="T46" s="87"/>
      <c r="U46" s="87"/>
      <c r="V46" s="87"/>
      <c r="W46" s="87"/>
      <c r="X46" s="87"/>
    </row>
    <row r="47" spans="1:24" ht="15.75" customHeight="1" x14ac:dyDescent="0.35">
      <c r="A47" s="55" t="s">
        <v>14</v>
      </c>
      <c r="B47" s="75">
        <f>+B28/12</f>
        <v>14915.397777777785</v>
      </c>
      <c r="C47" s="75">
        <f>$B$47+B47</f>
        <v>29830.795555555571</v>
      </c>
      <c r="D47" s="75">
        <f t="shared" ref="D47:M47" si="13">$B$47+C47</f>
        <v>44746.193333333358</v>
      </c>
      <c r="E47" s="75">
        <f t="shared" si="13"/>
        <v>59661.591111111142</v>
      </c>
      <c r="F47" s="75">
        <f t="shared" si="13"/>
        <v>74576.988888888925</v>
      </c>
      <c r="G47" s="75">
        <f t="shared" si="13"/>
        <v>89492.386666666716</v>
      </c>
      <c r="H47" s="75">
        <f t="shared" si="13"/>
        <v>104407.78444444451</v>
      </c>
      <c r="I47" s="75">
        <f t="shared" si="13"/>
        <v>119323.1822222223</v>
      </c>
      <c r="J47" s="75">
        <f t="shared" si="13"/>
        <v>134238.58000000007</v>
      </c>
      <c r="K47" s="75">
        <f t="shared" si="13"/>
        <v>149153.97777777785</v>
      </c>
      <c r="L47" s="75">
        <f t="shared" si="13"/>
        <v>164069.37555555563</v>
      </c>
      <c r="M47" s="75">
        <f t="shared" si="13"/>
        <v>178984.7733333334</v>
      </c>
      <c r="N47" s="75">
        <f>M47</f>
        <v>178984.7733333334</v>
      </c>
      <c r="O47" s="55"/>
      <c r="P47" s="55"/>
      <c r="Q47" s="55"/>
      <c r="R47" s="55"/>
      <c r="S47" s="55"/>
      <c r="T47" s="55"/>
      <c r="U47" s="55"/>
      <c r="V47" s="55"/>
      <c r="W47" s="55"/>
      <c r="X47" s="55"/>
    </row>
    <row r="48" spans="1:24" ht="15.75" customHeight="1" x14ac:dyDescent="0.35">
      <c r="A48" s="55" t="s">
        <v>15</v>
      </c>
      <c r="B48" s="90"/>
      <c r="C48" s="91"/>
      <c r="D48" s="91"/>
      <c r="E48" s="91"/>
      <c r="F48" s="91"/>
      <c r="G48" s="91"/>
      <c r="H48" s="91"/>
      <c r="I48" s="91"/>
      <c r="J48" s="91"/>
      <c r="K48" s="91"/>
      <c r="L48" s="91"/>
      <c r="M48" s="91"/>
      <c r="N48" s="75">
        <f t="shared" ref="N48:N49" si="14">SUM(B48:M48)</f>
        <v>0</v>
      </c>
      <c r="O48" s="63"/>
      <c r="P48" s="55"/>
      <c r="Q48" s="55"/>
      <c r="R48" s="55"/>
      <c r="S48" s="55"/>
      <c r="T48" s="55"/>
      <c r="U48" s="55"/>
      <c r="V48" s="55"/>
      <c r="W48" s="55"/>
      <c r="X48" s="55"/>
    </row>
    <row r="49" spans="1:24" ht="15.75" customHeight="1" x14ac:dyDescent="0.35">
      <c r="A49" s="58"/>
      <c r="B49" s="92">
        <f t="shared" ref="B49:M49" si="15">SUM(B47:B48)</f>
        <v>14915.397777777785</v>
      </c>
      <c r="C49" s="93">
        <f t="shared" si="15"/>
        <v>29830.795555555571</v>
      </c>
      <c r="D49" s="93">
        <f t="shared" si="15"/>
        <v>44746.193333333358</v>
      </c>
      <c r="E49" s="93">
        <f t="shared" si="15"/>
        <v>59661.591111111142</v>
      </c>
      <c r="F49" s="93">
        <f t="shared" si="15"/>
        <v>74576.988888888925</v>
      </c>
      <c r="G49" s="93">
        <f t="shared" si="15"/>
        <v>89492.386666666716</v>
      </c>
      <c r="H49" s="93">
        <f t="shared" si="15"/>
        <v>104407.78444444451</v>
      </c>
      <c r="I49" s="93">
        <f t="shared" si="15"/>
        <v>119323.1822222223</v>
      </c>
      <c r="J49" s="93">
        <f t="shared" si="15"/>
        <v>134238.58000000007</v>
      </c>
      <c r="K49" s="93">
        <f t="shared" si="15"/>
        <v>149153.97777777785</v>
      </c>
      <c r="L49" s="93">
        <f t="shared" si="15"/>
        <v>164069.37555555563</v>
      </c>
      <c r="M49" s="93">
        <f t="shared" si="15"/>
        <v>178984.7733333334</v>
      </c>
      <c r="N49" s="75">
        <f t="shared" si="14"/>
        <v>1163401.0266666673</v>
      </c>
      <c r="O49" s="63"/>
      <c r="P49" s="55"/>
      <c r="Q49" s="55"/>
      <c r="R49" s="55"/>
      <c r="S49" s="55"/>
      <c r="T49" s="55"/>
      <c r="U49" s="55"/>
      <c r="V49" s="55"/>
      <c r="W49" s="55"/>
      <c r="X49" s="55"/>
    </row>
    <row r="50" spans="1:24" ht="15.75" customHeight="1" x14ac:dyDescent="0.35">
      <c r="A50" s="58"/>
      <c r="B50" s="94"/>
      <c r="C50" s="63"/>
      <c r="D50" s="55"/>
      <c r="E50" s="63"/>
      <c r="F50" s="55"/>
      <c r="G50" s="63"/>
      <c r="H50" s="63"/>
      <c r="I50" s="63"/>
      <c r="J50" s="63"/>
      <c r="K50" s="63"/>
      <c r="L50" s="63"/>
      <c r="M50" s="63"/>
      <c r="N50" s="75"/>
      <c r="O50" s="63"/>
      <c r="P50" s="55"/>
      <c r="Q50" s="55"/>
      <c r="R50" s="55"/>
      <c r="S50" s="55"/>
      <c r="T50" s="55"/>
      <c r="U50" s="55"/>
      <c r="V50" s="55"/>
      <c r="W50" s="55"/>
      <c r="X50" s="55"/>
    </row>
    <row r="51" spans="1:24" ht="15.75" customHeight="1" x14ac:dyDescent="0.35">
      <c r="A51" s="58"/>
      <c r="B51" s="94"/>
      <c r="C51" s="63"/>
      <c r="D51" s="58"/>
      <c r="E51" s="58"/>
      <c r="F51" s="58"/>
      <c r="G51" s="58"/>
      <c r="H51" s="58"/>
      <c r="I51" s="58"/>
      <c r="J51" s="63"/>
      <c r="K51" s="63"/>
      <c r="L51" s="63"/>
      <c r="M51" s="63"/>
      <c r="N51" s="75"/>
      <c r="O51" s="63"/>
      <c r="P51" s="55"/>
      <c r="Q51" s="55"/>
      <c r="R51" s="55"/>
      <c r="S51" s="55"/>
      <c r="T51" s="55"/>
      <c r="U51" s="55"/>
      <c r="V51" s="55"/>
      <c r="W51" s="55"/>
      <c r="X51" s="55"/>
    </row>
    <row r="52" spans="1:24" ht="15.75" customHeight="1" x14ac:dyDescent="0.35">
      <c r="A52" s="95" t="s">
        <v>16</v>
      </c>
      <c r="B52" s="75">
        <f t="shared" ref="B52:M52" si="16">B45+B47</f>
        <v>3850303.3977777776</v>
      </c>
      <c r="C52" s="75">
        <f t="shared" si="16"/>
        <v>7700606.7955555553</v>
      </c>
      <c r="D52" s="75">
        <f t="shared" si="16"/>
        <v>11550910.193333333</v>
      </c>
      <c r="E52" s="75">
        <f t="shared" si="16"/>
        <v>15401213.591111111</v>
      </c>
      <c r="F52" s="75">
        <f t="shared" si="16"/>
        <v>19251516.98888889</v>
      </c>
      <c r="G52" s="75">
        <f t="shared" si="16"/>
        <v>23101820.386666667</v>
      </c>
      <c r="H52" s="75">
        <f t="shared" si="16"/>
        <v>26952123.784444444</v>
      </c>
      <c r="I52" s="75">
        <f t="shared" si="16"/>
        <v>30802427.182222221</v>
      </c>
      <c r="J52" s="75">
        <f t="shared" si="16"/>
        <v>34652730.579999998</v>
      </c>
      <c r="K52" s="75">
        <f t="shared" si="16"/>
        <v>38503033.977777779</v>
      </c>
      <c r="L52" s="75">
        <f t="shared" si="16"/>
        <v>42353337.375555553</v>
      </c>
      <c r="M52" s="75">
        <f t="shared" si="16"/>
        <v>46203640.773333333</v>
      </c>
      <c r="N52" s="75">
        <f>M52</f>
        <v>46203640.773333333</v>
      </c>
      <c r="O52" s="63"/>
      <c r="P52" s="55"/>
      <c r="Q52" s="55"/>
      <c r="R52" s="55"/>
      <c r="S52" s="55"/>
      <c r="T52" s="55"/>
      <c r="U52" s="55"/>
      <c r="V52" s="55"/>
      <c r="W52" s="55"/>
      <c r="X52" s="55"/>
    </row>
    <row r="53" spans="1:24" ht="15.75" customHeight="1" x14ac:dyDescent="0.35">
      <c r="A53" s="58"/>
      <c r="B53" s="96"/>
      <c r="C53" s="58"/>
      <c r="D53" s="58"/>
      <c r="E53" s="58"/>
      <c r="F53" s="58"/>
      <c r="G53" s="58"/>
      <c r="H53" s="58"/>
      <c r="I53" s="63"/>
      <c r="J53" s="63"/>
      <c r="K53" s="63"/>
      <c r="L53" s="63"/>
      <c r="M53" s="63"/>
      <c r="N53" s="75"/>
      <c r="O53" s="63"/>
      <c r="P53" s="55"/>
      <c r="Q53" s="55"/>
      <c r="R53" s="55"/>
      <c r="S53" s="55"/>
      <c r="T53" s="55"/>
      <c r="U53" s="55"/>
      <c r="V53" s="55"/>
      <c r="W53" s="55"/>
      <c r="X53" s="55"/>
    </row>
    <row r="54" spans="1:24" ht="15.75" customHeight="1" x14ac:dyDescent="0.35">
      <c r="A54" s="97" t="s">
        <v>17</v>
      </c>
      <c r="B54" s="63">
        <f t="shared" ref="B54:F54" si="17">-B30+B61</f>
        <v>-265451.21654166665</v>
      </c>
      <c r="C54" s="63">
        <f t="shared" si="17"/>
        <v>-265281.00333333336</v>
      </c>
      <c r="D54" s="63">
        <f t="shared" si="17"/>
        <v>-262303.13529166667</v>
      </c>
      <c r="E54" s="63">
        <f t="shared" si="17"/>
        <v>-275294.60215833335</v>
      </c>
      <c r="F54" s="63">
        <f t="shared" si="17"/>
        <v>-273641.4263916667</v>
      </c>
      <c r="G54" s="91">
        <f>C19*0.17+-G29-SUM(B54:F54)</f>
        <v>-292208.67098333314</v>
      </c>
      <c r="H54" s="63">
        <f t="shared" ref="H54:L54" si="18">-H30+H61</f>
        <v>-271654.55762500002</v>
      </c>
      <c r="I54" s="63">
        <f t="shared" si="18"/>
        <v>-270877.5876416667</v>
      </c>
      <c r="J54" s="63">
        <f t="shared" si="18"/>
        <v>-269951.56420833338</v>
      </c>
      <c r="K54" s="63">
        <f t="shared" si="18"/>
        <v>-269017.87901666667</v>
      </c>
      <c r="L54" s="63">
        <f t="shared" si="18"/>
        <v>-267965.44500000001</v>
      </c>
      <c r="M54" s="91">
        <f>C25*0.17+-M29-SUM(H54:L54)</f>
        <v>-251073.94565833313</v>
      </c>
      <c r="N54" s="94" t="s">
        <v>18</v>
      </c>
      <c r="O54" s="55"/>
      <c r="P54" s="55"/>
      <c r="Q54" s="55"/>
      <c r="R54" s="55"/>
      <c r="S54" s="55"/>
      <c r="T54" s="55"/>
      <c r="U54" s="55"/>
      <c r="V54" s="55"/>
      <c r="W54" s="55"/>
      <c r="X54" s="55"/>
    </row>
    <row r="55" spans="1:24" ht="15.75" customHeight="1" x14ac:dyDescent="0.35">
      <c r="A55" s="97" t="s">
        <v>19</v>
      </c>
      <c r="B55" s="75">
        <f>B54</f>
        <v>-265451.21654166665</v>
      </c>
      <c r="C55" s="63">
        <f t="shared" ref="C55:M55" si="19">C54+B55</f>
        <v>-530732.21987499995</v>
      </c>
      <c r="D55" s="63">
        <f t="shared" si="19"/>
        <v>-793035.35516666668</v>
      </c>
      <c r="E55" s="63">
        <f t="shared" si="19"/>
        <v>-1068329.9573250001</v>
      </c>
      <c r="F55" s="63">
        <f t="shared" si="19"/>
        <v>-1341971.3837166668</v>
      </c>
      <c r="G55" s="91">
        <f>G54+F55</f>
        <v>-1634180.0547</v>
      </c>
      <c r="H55" s="63">
        <f t="shared" si="19"/>
        <v>-1905834.6123250001</v>
      </c>
      <c r="I55" s="63">
        <f t="shared" si="19"/>
        <v>-2176712.1999666668</v>
      </c>
      <c r="J55" s="63">
        <f t="shared" si="19"/>
        <v>-2446663.7641750001</v>
      </c>
      <c r="K55" s="63">
        <f t="shared" si="19"/>
        <v>-2715681.6431916668</v>
      </c>
      <c r="L55" s="63">
        <f t="shared" si="19"/>
        <v>-2983647.0881916666</v>
      </c>
      <c r="M55" s="91">
        <f t="shared" si="19"/>
        <v>-3234721.0338499998</v>
      </c>
      <c r="N55" s="75" t="e">
        <f>-#REF!+#REF!</f>
        <v>#REF!</v>
      </c>
      <c r="O55" s="55"/>
      <c r="P55" s="55"/>
      <c r="Q55" s="55"/>
      <c r="R55" s="55"/>
      <c r="S55" s="55"/>
      <c r="T55" s="55"/>
      <c r="U55" s="55"/>
      <c r="V55" s="55"/>
      <c r="W55" s="55"/>
      <c r="X55" s="55"/>
    </row>
    <row r="56" spans="1:24" ht="15.75" customHeight="1" x14ac:dyDescent="0.35">
      <c r="A56" s="58" t="s">
        <v>20</v>
      </c>
      <c r="B56" s="94"/>
      <c r="C56" s="63"/>
      <c r="D56" s="55"/>
      <c r="E56" s="63"/>
      <c r="F56" s="55"/>
      <c r="G56" s="63"/>
      <c r="H56" s="63"/>
      <c r="I56" s="63"/>
      <c r="J56" s="63"/>
      <c r="K56" s="63"/>
      <c r="L56" s="63"/>
      <c r="M56" s="63"/>
      <c r="N56" s="55"/>
      <c r="O56" s="63"/>
      <c r="P56" s="55"/>
      <c r="Q56" s="55"/>
      <c r="R56" s="55"/>
      <c r="S56" s="55"/>
      <c r="T56" s="55"/>
      <c r="U56" s="55"/>
      <c r="V56" s="55"/>
      <c r="W56" s="55"/>
      <c r="X56" s="55"/>
    </row>
    <row r="57" spans="1:24" ht="15.75" customHeight="1" x14ac:dyDescent="0.35">
      <c r="A57" s="58" t="s">
        <v>21</v>
      </c>
      <c r="B57" s="75">
        <f t="shared" ref="B57:M57" si="20">B48+B43</f>
        <v>-649973.40150000004</v>
      </c>
      <c r="C57" s="75">
        <f t="shared" si="20"/>
        <v>-652015.96</v>
      </c>
      <c r="D57" s="75">
        <f t="shared" si="20"/>
        <v>-687750.37650000001</v>
      </c>
      <c r="E57" s="75">
        <f t="shared" si="20"/>
        <v>-531852.77410000004</v>
      </c>
      <c r="F57" s="75">
        <f t="shared" si="20"/>
        <v>-551690.88329999999</v>
      </c>
      <c r="G57" s="75">
        <f t="shared" si="20"/>
        <v>-567027.89060000004</v>
      </c>
      <c r="H57" s="75">
        <f t="shared" si="20"/>
        <v>-575533.30849999993</v>
      </c>
      <c r="I57" s="75">
        <f t="shared" si="20"/>
        <v>-584856.94830000005</v>
      </c>
      <c r="J57" s="75">
        <f t="shared" si="20"/>
        <v>-595969.22950000002</v>
      </c>
      <c r="K57" s="75">
        <f t="shared" si="20"/>
        <v>-607173.45180000004</v>
      </c>
      <c r="L57" s="75">
        <f t="shared" si="20"/>
        <v>-619802.66</v>
      </c>
      <c r="M57" s="75">
        <f t="shared" si="20"/>
        <v>-634306.04169999994</v>
      </c>
      <c r="N57" s="75" t="s">
        <v>22</v>
      </c>
      <c r="O57" s="63"/>
      <c r="P57" s="55"/>
      <c r="Q57" s="55"/>
      <c r="R57" s="55"/>
      <c r="S57" s="55"/>
      <c r="T57" s="55"/>
      <c r="U57" s="55"/>
      <c r="V57" s="55"/>
      <c r="W57" s="55"/>
      <c r="X57" s="55"/>
    </row>
    <row r="58" spans="1:24" ht="15.75" customHeight="1" x14ac:dyDescent="0.35">
      <c r="A58" s="58" t="s">
        <v>23</v>
      </c>
      <c r="B58" s="75"/>
      <c r="C58" s="63"/>
      <c r="D58" s="63"/>
      <c r="E58" s="63"/>
      <c r="F58" s="63"/>
      <c r="G58" s="91"/>
      <c r="H58" s="91"/>
      <c r="I58" s="63"/>
      <c r="J58" s="63"/>
      <c r="K58" s="63"/>
      <c r="L58" s="63"/>
      <c r="M58" s="63"/>
      <c r="N58" s="75">
        <f>G55</f>
        <v>-1634180.0547</v>
      </c>
      <c r="O58" s="63"/>
      <c r="P58" s="55"/>
      <c r="Q58" s="55"/>
      <c r="R58" s="55"/>
      <c r="S58" s="55"/>
      <c r="T58" s="55"/>
      <c r="U58" s="55"/>
      <c r="V58" s="55"/>
      <c r="W58" s="55"/>
      <c r="X58" s="55"/>
    </row>
    <row r="59" spans="1:24" ht="15.75" customHeight="1" x14ac:dyDescent="0.35">
      <c r="A59" s="58" t="s">
        <v>24</v>
      </c>
      <c r="B59" s="75">
        <f>B43</f>
        <v>-649973.40150000004</v>
      </c>
      <c r="C59" s="63">
        <f t="shared" ref="C59:D59" si="21">C43+B59+C48</f>
        <v>-1301989.3615000001</v>
      </c>
      <c r="D59" s="63">
        <f t="shared" si="21"/>
        <v>-1989739.7380000001</v>
      </c>
      <c r="E59" s="63">
        <f>E43+D59</f>
        <v>-2521592.5120999999</v>
      </c>
      <c r="F59" s="63">
        <f t="shared" ref="F59:M59" si="22">F43+E59-+$A$50</f>
        <v>-3073283.3953999998</v>
      </c>
      <c r="G59" s="63">
        <f t="shared" si="22"/>
        <v>-3640311.2859999998</v>
      </c>
      <c r="H59" s="63">
        <f t="shared" si="22"/>
        <v>-4215844.5944999997</v>
      </c>
      <c r="I59" s="63">
        <f t="shared" si="22"/>
        <v>-4800701.5427999999</v>
      </c>
      <c r="J59" s="63">
        <f t="shared" si="22"/>
        <v>-5396670.7723000003</v>
      </c>
      <c r="K59" s="63">
        <f t="shared" si="22"/>
        <v>-6003844.2241000002</v>
      </c>
      <c r="L59" s="63">
        <f t="shared" si="22"/>
        <v>-6623646.8841000004</v>
      </c>
      <c r="M59" s="63">
        <f t="shared" si="22"/>
        <v>-7257952.9258000003</v>
      </c>
      <c r="N59" s="75"/>
      <c r="O59" s="63"/>
      <c r="P59" s="55"/>
      <c r="Q59" s="55"/>
      <c r="R59" s="55"/>
      <c r="S59" s="55"/>
      <c r="T59" s="55"/>
      <c r="U59" s="55"/>
      <c r="V59" s="55"/>
      <c r="W59" s="55"/>
      <c r="X59" s="55"/>
    </row>
    <row r="60" spans="1:24" ht="15.75" customHeight="1" x14ac:dyDescent="0.35">
      <c r="A60" s="58"/>
      <c r="B60" s="94"/>
      <c r="C60" s="63"/>
      <c r="D60" s="55"/>
      <c r="E60" s="63"/>
      <c r="F60" s="63"/>
      <c r="G60" s="63"/>
      <c r="H60" s="63"/>
      <c r="I60" s="63"/>
      <c r="J60" s="63"/>
      <c r="K60" s="63"/>
      <c r="L60" s="63"/>
      <c r="M60" s="63"/>
      <c r="N60" s="75"/>
      <c r="O60" s="63"/>
      <c r="P60" s="55"/>
      <c r="Q60" s="55"/>
      <c r="R60" s="55"/>
      <c r="S60" s="55"/>
      <c r="T60" s="55"/>
      <c r="U60" s="55"/>
      <c r="V60" s="55"/>
      <c r="W60" s="55"/>
      <c r="X60" s="55"/>
    </row>
    <row r="61" spans="1:24" ht="15.75" customHeight="1" x14ac:dyDescent="0.35">
      <c r="A61" s="58" t="s">
        <v>25</v>
      </c>
      <c r="B61" s="75">
        <f>+(($B$5/12*0.17))</f>
        <v>54164.45012500001</v>
      </c>
      <c r="C61" s="63">
        <f>((C30*0.17))</f>
        <v>54334.663333333338</v>
      </c>
      <c r="D61" s="63">
        <f>((B16/12*0.17))</f>
        <v>57312.531375000013</v>
      </c>
      <c r="E61" s="63">
        <f>((B17/12*0.17))</f>
        <v>44321.064508333337</v>
      </c>
      <c r="F61" s="63">
        <f>((B18/12*0.17))</f>
        <v>45974.240275000004</v>
      </c>
      <c r="G61" s="98">
        <f>C19*0.17-SUM(B61:F61)</f>
        <v>27406.995683333313</v>
      </c>
      <c r="H61" s="98">
        <f>B20/12*0.17</f>
        <v>47961.10904166667</v>
      </c>
      <c r="I61" s="98">
        <f>B21/12*0.17</f>
        <v>48738.079025000006</v>
      </c>
      <c r="J61" s="98">
        <f>B22/12*0.17</f>
        <v>49664.102458333335</v>
      </c>
      <c r="K61" s="98">
        <f>B23/12*0.17</f>
        <v>50597.787649999998</v>
      </c>
      <c r="L61" s="98">
        <f>B24/12*0.17</f>
        <v>51650.221666666665</v>
      </c>
      <c r="M61" s="98">
        <f>C25*0.17-SUM(H61:L61)</f>
        <v>68541.721008333319</v>
      </c>
      <c r="N61" s="55"/>
      <c r="O61" s="55"/>
      <c r="P61" s="55"/>
      <c r="Q61" s="55"/>
      <c r="R61" s="55"/>
      <c r="S61" s="55"/>
      <c r="T61" s="55"/>
      <c r="U61" s="55"/>
      <c r="V61" s="55"/>
      <c r="W61" s="55"/>
      <c r="X61" s="55"/>
    </row>
    <row r="62" spans="1:24" ht="15.75" customHeight="1" x14ac:dyDescent="0.35">
      <c r="A62" s="86" t="s">
        <v>26</v>
      </c>
      <c r="B62" s="85">
        <f t="shared" ref="B62:D62" si="23">B27+B47+B43+B48-B54+B33</f>
        <v>3465781.212819444</v>
      </c>
      <c r="C62" s="85">
        <f t="shared" si="23"/>
        <v>3478483.8388888892</v>
      </c>
      <c r="D62" s="85">
        <f t="shared" si="23"/>
        <v>3454686.9521249998</v>
      </c>
      <c r="E62" s="85">
        <f t="shared" ref="E62:M62" si="24">E27+E47+E43+E48-E54+E33-D47</f>
        <v>3593745.2258361108</v>
      </c>
      <c r="F62" s="85">
        <f t="shared" si="24"/>
        <v>3572253.940869445</v>
      </c>
      <c r="G62" s="85">
        <f t="shared" si="24"/>
        <v>3575484.1781611107</v>
      </c>
      <c r="H62" s="85">
        <f t="shared" si="24"/>
        <v>3546424.6469027777</v>
      </c>
      <c r="I62" s="85">
        <f t="shared" si="24"/>
        <v>3536324.0371194449</v>
      </c>
      <c r="J62" s="85">
        <f t="shared" si="24"/>
        <v>3524285.7324861111</v>
      </c>
      <c r="K62" s="85">
        <f t="shared" si="24"/>
        <v>3512147.8249944444</v>
      </c>
      <c r="L62" s="85">
        <f t="shared" si="24"/>
        <v>3498466.1827777778</v>
      </c>
      <c r="M62" s="85">
        <f t="shared" si="24"/>
        <v>3467071.3017361108</v>
      </c>
      <c r="N62" s="75">
        <f>SUM(B62:M62)</f>
        <v>42225155.074716657</v>
      </c>
      <c r="O62" s="86"/>
      <c r="P62" s="86"/>
      <c r="Q62" s="86"/>
      <c r="R62" s="86"/>
      <c r="S62" s="86"/>
      <c r="T62" s="86"/>
      <c r="U62" s="86"/>
      <c r="V62" s="86"/>
      <c r="W62" s="86"/>
      <c r="X62" s="86"/>
    </row>
    <row r="63" spans="1:24" ht="15.75" customHeight="1" x14ac:dyDescent="0.35">
      <c r="A63" s="55"/>
      <c r="B63" s="75"/>
      <c r="C63" s="63"/>
      <c r="D63" s="63"/>
      <c r="E63" s="63"/>
      <c r="F63" s="63"/>
      <c r="G63" s="63"/>
      <c r="H63" s="63"/>
      <c r="I63" s="63"/>
      <c r="J63" s="63"/>
      <c r="K63" s="63"/>
      <c r="L63" s="63"/>
      <c r="M63" s="63"/>
      <c r="N63" s="75"/>
      <c r="O63" s="55"/>
      <c r="P63" s="55"/>
      <c r="Q63" s="55"/>
      <c r="R63" s="55"/>
      <c r="S63" s="55"/>
      <c r="T63" s="55"/>
      <c r="U63" s="55"/>
      <c r="V63" s="55"/>
      <c r="W63" s="55"/>
      <c r="X63" s="55"/>
    </row>
    <row r="64" spans="1:24" ht="15.75" customHeight="1" x14ac:dyDescent="0.35">
      <c r="A64" s="86" t="s">
        <v>27</v>
      </c>
      <c r="B64" s="85">
        <f>B62</f>
        <v>3465781.212819444</v>
      </c>
      <c r="C64" s="76">
        <f>C45+C47-C55+C57+B59</f>
        <v>6929349.6539305551</v>
      </c>
      <c r="D64" s="76">
        <f>D45+D47-D55+D59</f>
        <v>10354205.8105</v>
      </c>
      <c r="E64" s="76">
        <f t="shared" ref="E64:M64" si="25">E45+E47-E55+E57+D59-+D48</f>
        <v>13947951.036336111</v>
      </c>
      <c r="F64" s="76">
        <f t="shared" si="25"/>
        <v>17520204.977205556</v>
      </c>
      <c r="G64" s="76">
        <f t="shared" si="25"/>
        <v>21095689.155366667</v>
      </c>
      <c r="H64" s="76">
        <f t="shared" si="25"/>
        <v>24642113.802269448</v>
      </c>
      <c r="I64" s="76">
        <f t="shared" si="25"/>
        <v>28178437.839388885</v>
      </c>
      <c r="J64" s="76">
        <f t="shared" si="25"/>
        <v>31702723.571874991</v>
      </c>
      <c r="K64" s="76">
        <f t="shared" si="25"/>
        <v>35214871.396869443</v>
      </c>
      <c r="L64" s="76">
        <f t="shared" si="25"/>
        <v>38713337.579647221</v>
      </c>
      <c r="M64" s="76">
        <f t="shared" si="25"/>
        <v>42180408.881383337</v>
      </c>
      <c r="N64" s="75">
        <f>M64</f>
        <v>42180408.881383337</v>
      </c>
      <c r="O64" s="86"/>
      <c r="P64" s="86"/>
      <c r="Q64" s="86"/>
      <c r="R64" s="86"/>
      <c r="S64" s="86"/>
      <c r="T64" s="86"/>
      <c r="U64" s="86"/>
      <c r="V64" s="86"/>
      <c r="W64" s="86"/>
      <c r="X64" s="86"/>
    </row>
    <row r="65" spans="1:24" ht="15.75" customHeight="1" x14ac:dyDescent="0.35">
      <c r="A65" s="55"/>
      <c r="B65" s="75"/>
      <c r="C65" s="75"/>
      <c r="D65" s="99"/>
      <c r="E65" s="99"/>
      <c r="F65" s="99"/>
      <c r="G65" s="99"/>
      <c r="H65" s="99"/>
      <c r="I65" s="75"/>
      <c r="J65" s="75"/>
      <c r="K65" s="75"/>
      <c r="L65" s="75"/>
      <c r="M65" s="75"/>
      <c r="N65" s="75"/>
      <c r="O65" s="55"/>
      <c r="P65" s="55"/>
      <c r="Q65" s="55"/>
      <c r="R65" s="55"/>
      <c r="S65" s="55"/>
      <c r="T65" s="55"/>
      <c r="U65" s="55"/>
      <c r="V65" s="55"/>
      <c r="W65" s="55"/>
      <c r="X65" s="55"/>
    </row>
    <row r="66" spans="1:24" ht="15.75" customHeight="1" x14ac:dyDescent="0.35">
      <c r="A66" s="55"/>
      <c r="B66" s="75"/>
      <c r="C66" s="75"/>
      <c r="D66" s="75"/>
      <c r="E66" s="75"/>
      <c r="F66" s="75"/>
      <c r="G66" s="75"/>
      <c r="H66" s="75"/>
      <c r="I66" s="75"/>
      <c r="J66" s="75"/>
      <c r="K66" s="75"/>
      <c r="L66" s="75"/>
      <c r="M66" s="75"/>
      <c r="N66" s="94"/>
      <c r="O66" s="55"/>
      <c r="P66" s="55"/>
      <c r="Q66" s="55"/>
      <c r="R66" s="55"/>
      <c r="S66" s="55"/>
      <c r="T66" s="55"/>
      <c r="U66" s="55"/>
      <c r="V66" s="55"/>
      <c r="W66" s="55"/>
      <c r="X66" s="55"/>
    </row>
    <row r="67" spans="1:24" ht="15.75" customHeight="1" x14ac:dyDescent="0.35">
      <c r="A67" s="55"/>
      <c r="B67" s="75"/>
      <c r="C67" s="63"/>
      <c r="D67" s="63"/>
      <c r="E67" s="63"/>
      <c r="F67" s="63"/>
      <c r="G67" s="63"/>
      <c r="H67" s="63"/>
      <c r="I67" s="63"/>
      <c r="J67" s="63"/>
      <c r="K67" s="63"/>
      <c r="L67" s="63"/>
      <c r="M67" s="63"/>
      <c r="N67" s="94"/>
      <c r="O67" s="55"/>
      <c r="P67" s="55"/>
      <c r="Q67" s="55"/>
      <c r="R67" s="55"/>
      <c r="S67" s="55"/>
      <c r="T67" s="55"/>
      <c r="U67" s="55"/>
      <c r="V67" s="55"/>
      <c r="W67" s="55"/>
      <c r="X67" s="55"/>
    </row>
    <row r="68" spans="1:24" ht="15.75" customHeight="1" x14ac:dyDescent="0.35">
      <c r="A68" s="55" t="s">
        <v>28</v>
      </c>
      <c r="B68" s="100"/>
      <c r="C68" s="91"/>
      <c r="D68" s="91"/>
      <c r="E68" s="91"/>
      <c r="F68" s="91"/>
      <c r="G68" s="91"/>
      <c r="H68" s="63"/>
      <c r="I68" s="63"/>
      <c r="J68" s="63"/>
      <c r="K68" s="63"/>
      <c r="L68" s="63"/>
      <c r="M68" s="63"/>
      <c r="N68" s="94"/>
      <c r="O68" s="55"/>
      <c r="P68" s="55"/>
      <c r="Q68" s="55"/>
      <c r="R68" s="55"/>
      <c r="S68" s="55"/>
      <c r="T68" s="55"/>
      <c r="U68" s="55"/>
      <c r="V68" s="55"/>
      <c r="W68" s="55"/>
      <c r="X68" s="55"/>
    </row>
    <row r="69" spans="1:24" ht="15.75" customHeight="1" x14ac:dyDescent="0.35">
      <c r="A69" s="101" t="s">
        <v>29</v>
      </c>
      <c r="B69" s="75">
        <f>B83*5/100</f>
        <v>38412.0089881944</v>
      </c>
      <c r="C69" s="75">
        <f t="shared" ref="C69:M69" si="26">C84*5/100</f>
        <v>76713.379390972157</v>
      </c>
      <c r="D69" s="75">
        <f t="shared" si="26"/>
        <v>113079.13556666668</v>
      </c>
      <c r="E69" s="75">
        <f t="shared" si="26"/>
        <v>157889.34520569435</v>
      </c>
      <c r="F69" s="75">
        <f t="shared" si="26"/>
        <v>201624.99059638896</v>
      </c>
      <c r="G69" s="75">
        <f t="shared" si="26"/>
        <v>245522.14785166673</v>
      </c>
      <c r="H69" s="75">
        <f t="shared" si="26"/>
        <v>287966.32854402793</v>
      </c>
      <c r="I69" s="75">
        <f t="shared" si="26"/>
        <v>329905.47874722182</v>
      </c>
      <c r="J69" s="75">
        <f t="shared" si="26"/>
        <v>371242.71371874958</v>
      </c>
      <c r="K69" s="75">
        <f t="shared" si="26"/>
        <v>411973.0533156945</v>
      </c>
      <c r="L69" s="75">
        <f t="shared" si="26"/>
        <v>452019.3108018054</v>
      </c>
      <c r="M69" s="75">
        <f t="shared" si="26"/>
        <v>490495.8242358336</v>
      </c>
      <c r="N69" s="75">
        <f t="shared" ref="N69:N70" si="27">SUM(B69:M69)</f>
        <v>3176843.7169629163</v>
      </c>
      <c r="O69" s="55"/>
      <c r="P69" s="55"/>
      <c r="Q69" s="55"/>
      <c r="R69" s="55"/>
      <c r="S69" s="55"/>
      <c r="T69" s="55"/>
      <c r="U69" s="55"/>
      <c r="V69" s="55"/>
      <c r="W69" s="55"/>
      <c r="X69" s="55"/>
    </row>
    <row r="70" spans="1:24" ht="15.75" customHeight="1" x14ac:dyDescent="0.35">
      <c r="A70" s="102" t="s">
        <v>30</v>
      </c>
      <c r="B70" s="75"/>
      <c r="C70" s="75"/>
      <c r="D70" s="63"/>
      <c r="E70" s="63"/>
      <c r="F70" s="63"/>
      <c r="G70" s="63"/>
      <c r="H70" s="63"/>
      <c r="I70" s="63"/>
      <c r="J70" s="63"/>
      <c r="K70" s="63"/>
      <c r="L70" s="63"/>
      <c r="M70" s="63"/>
      <c r="N70" s="75">
        <f t="shared" si="27"/>
        <v>0</v>
      </c>
      <c r="O70" s="55"/>
      <c r="P70" s="55"/>
      <c r="Q70" s="55"/>
      <c r="R70" s="55"/>
      <c r="S70" s="55"/>
      <c r="T70" s="55"/>
      <c r="U70" s="55"/>
      <c r="V70" s="55"/>
      <c r="W70" s="55"/>
      <c r="X70" s="55"/>
    </row>
    <row r="71" spans="1:24" ht="15.75" customHeight="1" x14ac:dyDescent="0.35">
      <c r="A71" s="103" t="s">
        <v>31</v>
      </c>
      <c r="B71" s="104">
        <f>'Tablas '!B3</f>
        <v>429316.875</v>
      </c>
      <c r="C71" s="75">
        <f>'Tablas '!C3</f>
        <v>858633.75</v>
      </c>
      <c r="D71" s="75">
        <f>'Tablas '!D3</f>
        <v>1287950.625</v>
      </c>
      <c r="E71" s="75">
        <f>'Tablas '!E3</f>
        <v>1717267.5</v>
      </c>
      <c r="F71" s="75">
        <f>'Tablas '!F3</f>
        <v>2146584.375</v>
      </c>
      <c r="G71" s="75">
        <f>'Tablas '!G3</f>
        <v>2575901.25</v>
      </c>
      <c r="H71" s="75">
        <f>'Tablas '!H3</f>
        <v>3005218.125</v>
      </c>
      <c r="I71" s="75">
        <f>'Tablas '!I3</f>
        <v>3434535</v>
      </c>
      <c r="J71" s="75">
        <f>'Tablas '!J3</f>
        <v>3863851.875</v>
      </c>
      <c r="K71" s="75">
        <f>'Tablas '!K3</f>
        <v>4293168.75</v>
      </c>
      <c r="L71" s="75">
        <f>'Tablas '!L3</f>
        <v>4722485.625</v>
      </c>
      <c r="M71" s="75">
        <f>'Tablas '!M3</f>
        <v>5151802.5</v>
      </c>
      <c r="N71" s="75">
        <f t="shared" ref="N71:N77" si="28">M71</f>
        <v>5151802.5</v>
      </c>
      <c r="O71" s="55"/>
      <c r="P71" s="55"/>
      <c r="Q71" s="55"/>
      <c r="R71" s="55"/>
      <c r="S71" s="55"/>
      <c r="T71" s="55"/>
      <c r="U71" s="55"/>
      <c r="V71" s="55"/>
      <c r="W71" s="55"/>
      <c r="X71" s="55"/>
    </row>
    <row r="72" spans="1:24" ht="15.75" customHeight="1" x14ac:dyDescent="0.35">
      <c r="A72" s="103" t="s">
        <v>32</v>
      </c>
      <c r="B72" s="104">
        <f>'Tablas '!B4</f>
        <v>2060721.0016666667</v>
      </c>
      <c r="C72" s="75">
        <f>'Tablas '!C4</f>
        <v>4121442.0033333334</v>
      </c>
      <c r="D72" s="75">
        <f>'Tablas '!D4</f>
        <v>6182163.0049999999</v>
      </c>
      <c r="E72" s="75">
        <f>'Tablas '!E4</f>
        <v>8242884.0066666668</v>
      </c>
      <c r="F72" s="75">
        <f>'Tablas '!F4</f>
        <v>10303605.008333333</v>
      </c>
      <c r="G72" s="75">
        <f>'Tablas '!G4</f>
        <v>12364326.01</v>
      </c>
      <c r="H72" s="75">
        <f>'Tablas '!H4</f>
        <v>14425047.011666667</v>
      </c>
      <c r="I72" s="75">
        <f>'Tablas '!I4</f>
        <v>16485768.013333334</v>
      </c>
      <c r="J72" s="75">
        <f>'Tablas '!J4</f>
        <v>18546489.015000001</v>
      </c>
      <c r="K72" s="75">
        <f>'Tablas '!K4</f>
        <v>20607210.016666666</v>
      </c>
      <c r="L72" s="75">
        <f>'Tablas '!L4</f>
        <v>22667931.018333334</v>
      </c>
      <c r="M72" s="75">
        <f>'Tablas '!M4</f>
        <v>24728652.02</v>
      </c>
      <c r="N72" s="75">
        <f t="shared" si="28"/>
        <v>24728652.02</v>
      </c>
      <c r="O72" s="55"/>
      <c r="P72" s="55"/>
      <c r="Q72" s="55"/>
      <c r="R72" s="55"/>
      <c r="S72" s="55"/>
      <c r="T72" s="55"/>
      <c r="U72" s="55"/>
      <c r="V72" s="55"/>
      <c r="W72" s="55"/>
      <c r="X72" s="55"/>
    </row>
    <row r="73" spans="1:24" ht="15.75" customHeight="1" x14ac:dyDescent="0.35">
      <c r="A73" s="105" t="s">
        <v>33</v>
      </c>
      <c r="B73" s="106"/>
      <c r="C73" s="63"/>
      <c r="D73" s="63"/>
      <c r="E73" s="63"/>
      <c r="F73" s="63"/>
      <c r="G73" s="63"/>
      <c r="H73" s="63"/>
      <c r="I73" s="63"/>
      <c r="J73" s="63"/>
      <c r="K73" s="63"/>
      <c r="L73" s="63"/>
      <c r="M73" s="63"/>
      <c r="N73" s="75">
        <f t="shared" si="28"/>
        <v>0</v>
      </c>
      <c r="O73" s="55"/>
      <c r="P73" s="55"/>
      <c r="Q73" s="55"/>
      <c r="R73" s="55"/>
      <c r="S73" s="55"/>
      <c r="T73" s="55"/>
      <c r="U73" s="55"/>
      <c r="V73" s="55"/>
      <c r="W73" s="55"/>
      <c r="X73" s="55"/>
    </row>
    <row r="74" spans="1:24" ht="15.75" customHeight="1" x14ac:dyDescent="0.35">
      <c r="A74" s="55" t="s">
        <v>28</v>
      </c>
      <c r="B74" s="107"/>
      <c r="C74" s="63"/>
      <c r="D74" s="63"/>
      <c r="E74" s="63"/>
      <c r="F74" s="63"/>
      <c r="G74" s="63"/>
      <c r="H74" s="63"/>
      <c r="I74" s="63"/>
      <c r="J74" s="63"/>
      <c r="K74" s="63"/>
      <c r="L74" s="63"/>
      <c r="M74" s="63"/>
      <c r="N74" s="75">
        <f t="shared" si="28"/>
        <v>0</v>
      </c>
      <c r="O74" s="55"/>
      <c r="P74" s="55"/>
      <c r="Q74" s="55"/>
      <c r="R74" s="55"/>
      <c r="S74" s="55"/>
      <c r="T74" s="55"/>
      <c r="U74" s="55"/>
      <c r="V74" s="55"/>
      <c r="W74" s="55"/>
      <c r="X74" s="55"/>
    </row>
    <row r="75" spans="1:24" ht="15.75" customHeight="1" x14ac:dyDescent="0.35">
      <c r="A75" s="55" t="s">
        <v>34</v>
      </c>
      <c r="B75" s="104"/>
      <c r="C75" s="63"/>
      <c r="D75" s="63"/>
      <c r="E75" s="63"/>
      <c r="F75" s="63"/>
      <c r="G75" s="63"/>
      <c r="H75" s="63"/>
      <c r="I75" s="63"/>
      <c r="J75" s="63"/>
      <c r="K75" s="63"/>
      <c r="L75" s="63"/>
      <c r="M75" s="63"/>
      <c r="N75" s="75">
        <f t="shared" si="28"/>
        <v>0</v>
      </c>
      <c r="O75" s="55"/>
      <c r="P75" s="55"/>
      <c r="Q75" s="55"/>
      <c r="R75" s="55"/>
      <c r="S75" s="55"/>
      <c r="T75" s="55"/>
      <c r="U75" s="55"/>
      <c r="V75" s="55"/>
      <c r="W75" s="55"/>
      <c r="X75" s="55"/>
    </row>
    <row r="76" spans="1:24" ht="15.75" customHeight="1" x14ac:dyDescent="0.35">
      <c r="A76" s="55" t="s">
        <v>35</v>
      </c>
      <c r="B76" s="104">
        <f t="shared" ref="B76:M76" si="29">SUM(B71:B75)/12</f>
        <v>207503.15638888892</v>
      </c>
      <c r="C76" s="75">
        <f t="shared" si="29"/>
        <v>415006.31277777784</v>
      </c>
      <c r="D76" s="75">
        <f t="shared" si="29"/>
        <v>622509.46916666662</v>
      </c>
      <c r="E76" s="75">
        <f t="shared" si="29"/>
        <v>830012.62555555569</v>
      </c>
      <c r="F76" s="75">
        <f t="shared" si="29"/>
        <v>1037515.7819444444</v>
      </c>
      <c r="G76" s="75">
        <f t="shared" si="29"/>
        <v>1245018.9383333332</v>
      </c>
      <c r="H76" s="75">
        <f t="shared" si="29"/>
        <v>1452522.0947222223</v>
      </c>
      <c r="I76" s="75">
        <f t="shared" si="29"/>
        <v>1660025.2511111114</v>
      </c>
      <c r="J76" s="75">
        <f t="shared" si="29"/>
        <v>1867528.4075</v>
      </c>
      <c r="K76" s="75">
        <f t="shared" si="29"/>
        <v>2075031.5638888888</v>
      </c>
      <c r="L76" s="75">
        <f t="shared" si="29"/>
        <v>2282534.7202777779</v>
      </c>
      <c r="M76" s="75">
        <f t="shared" si="29"/>
        <v>2490037.8766666665</v>
      </c>
      <c r="N76" s="75">
        <f t="shared" si="28"/>
        <v>2490037.8766666665</v>
      </c>
      <c r="O76" s="55"/>
      <c r="P76" s="55"/>
      <c r="Q76" s="55"/>
      <c r="R76" s="55"/>
      <c r="S76" s="55"/>
      <c r="T76" s="55"/>
      <c r="U76" s="55"/>
      <c r="V76" s="55"/>
      <c r="W76" s="55"/>
      <c r="X76" s="55"/>
    </row>
    <row r="77" spans="1:24" ht="15.75" customHeight="1" x14ac:dyDescent="0.35">
      <c r="A77" s="86" t="s">
        <v>36</v>
      </c>
      <c r="B77" s="85">
        <f t="shared" ref="B77:M77" si="30">SUM(B71:B76)</f>
        <v>2697541.033055556</v>
      </c>
      <c r="C77" s="85">
        <f t="shared" si="30"/>
        <v>5395082.066111112</v>
      </c>
      <c r="D77" s="85">
        <f t="shared" si="30"/>
        <v>8092623.0991666662</v>
      </c>
      <c r="E77" s="85">
        <f t="shared" si="30"/>
        <v>10790164.132222224</v>
      </c>
      <c r="F77" s="85">
        <f t="shared" si="30"/>
        <v>13487705.165277777</v>
      </c>
      <c r="G77" s="85">
        <f t="shared" si="30"/>
        <v>16185246.198333332</v>
      </c>
      <c r="H77" s="85">
        <f t="shared" si="30"/>
        <v>18882787.231388889</v>
      </c>
      <c r="I77" s="85">
        <f t="shared" si="30"/>
        <v>21580328.264444448</v>
      </c>
      <c r="J77" s="85">
        <f t="shared" si="30"/>
        <v>24277869.297499999</v>
      </c>
      <c r="K77" s="85">
        <f t="shared" si="30"/>
        <v>26975410.330555554</v>
      </c>
      <c r="L77" s="85">
        <f t="shared" si="30"/>
        <v>29672951.363611113</v>
      </c>
      <c r="M77" s="85">
        <f t="shared" si="30"/>
        <v>32370492.396666665</v>
      </c>
      <c r="N77" s="75">
        <f t="shared" si="28"/>
        <v>32370492.396666665</v>
      </c>
      <c r="O77" s="86"/>
      <c r="P77" s="86"/>
      <c r="Q77" s="86"/>
      <c r="R77" s="86"/>
      <c r="S77" s="86"/>
      <c r="T77" s="86"/>
      <c r="U77" s="86"/>
      <c r="V77" s="86"/>
      <c r="W77" s="86"/>
      <c r="X77" s="86"/>
    </row>
    <row r="78" spans="1:24" ht="15.75" customHeight="1" x14ac:dyDescent="0.35">
      <c r="A78" s="55"/>
      <c r="B78" s="108"/>
      <c r="C78" s="108"/>
      <c r="D78" s="108"/>
      <c r="E78" s="108"/>
      <c r="F78" s="108"/>
      <c r="G78" s="108"/>
      <c r="H78" s="108"/>
      <c r="I78" s="63"/>
      <c r="J78" s="63"/>
      <c r="K78" s="63"/>
      <c r="L78" s="63"/>
      <c r="M78" s="63"/>
      <c r="N78" s="75">
        <f t="shared" ref="N78:N81" si="31">SUM(B78:M78)</f>
        <v>0</v>
      </c>
      <c r="O78" s="55"/>
      <c r="P78" s="55"/>
      <c r="Q78" s="55"/>
      <c r="R78" s="55"/>
      <c r="S78" s="55"/>
      <c r="T78" s="55"/>
      <c r="U78" s="55"/>
      <c r="V78" s="55"/>
      <c r="W78" s="55"/>
      <c r="X78" s="55"/>
    </row>
    <row r="79" spans="1:24" ht="15.75" customHeight="1" x14ac:dyDescent="0.35">
      <c r="A79" s="55" t="s">
        <v>37</v>
      </c>
      <c r="B79" s="63"/>
      <c r="C79" s="63"/>
      <c r="D79" s="63"/>
      <c r="E79" s="63"/>
      <c r="F79" s="63"/>
      <c r="G79" s="63"/>
      <c r="H79" s="63"/>
      <c r="I79" s="63"/>
      <c r="J79" s="63"/>
      <c r="K79" s="63"/>
      <c r="L79" s="63"/>
      <c r="M79" s="63"/>
      <c r="N79" s="75">
        <f t="shared" si="31"/>
        <v>0</v>
      </c>
      <c r="O79" s="55"/>
      <c r="P79" s="55"/>
      <c r="Q79" s="55"/>
      <c r="R79" s="55"/>
      <c r="S79" s="55"/>
      <c r="T79" s="55"/>
      <c r="U79" s="55"/>
      <c r="V79" s="55"/>
      <c r="W79" s="55"/>
      <c r="X79" s="55"/>
    </row>
    <row r="80" spans="1:24" ht="15.75" customHeight="1" x14ac:dyDescent="0.35">
      <c r="A80" s="55" t="s">
        <v>38</v>
      </c>
      <c r="B80" s="63"/>
      <c r="C80" s="63"/>
      <c r="D80" s="63"/>
      <c r="E80" s="63"/>
      <c r="F80" s="63"/>
      <c r="G80" s="63"/>
      <c r="H80" s="63"/>
      <c r="I80" s="63"/>
      <c r="J80" s="63"/>
      <c r="K80" s="63"/>
      <c r="L80" s="63"/>
      <c r="M80" s="63"/>
      <c r="N80" s="75">
        <f t="shared" si="31"/>
        <v>0</v>
      </c>
      <c r="O80" s="55"/>
      <c r="P80" s="55"/>
      <c r="Q80" s="55"/>
      <c r="R80" s="55"/>
      <c r="S80" s="55"/>
      <c r="T80" s="55"/>
      <c r="U80" s="55"/>
      <c r="V80" s="55"/>
      <c r="W80" s="55"/>
      <c r="X80" s="55"/>
    </row>
    <row r="81" spans="1:24" ht="15.75" customHeight="1" x14ac:dyDescent="0.35">
      <c r="A81" s="55" t="s">
        <v>39</v>
      </c>
      <c r="B81" s="82"/>
      <c r="C81" s="83"/>
      <c r="D81" s="83"/>
      <c r="E81" s="83"/>
      <c r="F81" s="63"/>
      <c r="G81" s="63"/>
      <c r="H81" s="83"/>
      <c r="I81" s="83"/>
      <c r="J81" s="83"/>
      <c r="K81" s="83"/>
      <c r="L81" s="83"/>
      <c r="M81" s="83"/>
      <c r="N81" s="75">
        <f t="shared" si="31"/>
        <v>0</v>
      </c>
      <c r="O81" s="55"/>
      <c r="P81" s="55"/>
      <c r="Q81" s="55"/>
      <c r="R81" s="55"/>
      <c r="S81" s="55"/>
      <c r="T81" s="55"/>
      <c r="U81" s="55"/>
      <c r="V81" s="55"/>
      <c r="W81" s="55"/>
      <c r="X81" s="55"/>
    </row>
    <row r="82" spans="1:24" ht="15.75" customHeight="1" x14ac:dyDescent="0.35">
      <c r="A82" s="55"/>
      <c r="B82" s="75"/>
      <c r="C82" s="93"/>
      <c r="D82" s="63"/>
      <c r="E82" s="63"/>
      <c r="F82" s="63"/>
      <c r="G82" s="63"/>
      <c r="H82" s="63"/>
      <c r="I82" s="63"/>
      <c r="J82" s="63"/>
      <c r="K82" s="63"/>
      <c r="L82" s="63"/>
      <c r="M82" s="63"/>
      <c r="N82" s="63"/>
      <c r="O82" s="55"/>
      <c r="P82" s="55"/>
      <c r="Q82" s="55"/>
      <c r="R82" s="55"/>
      <c r="S82" s="55"/>
      <c r="T82" s="55"/>
      <c r="U82" s="55"/>
      <c r="V82" s="55"/>
      <c r="W82" s="55"/>
      <c r="X82" s="55"/>
    </row>
    <row r="83" spans="1:24" ht="15.75" customHeight="1" x14ac:dyDescent="0.35">
      <c r="A83" s="109" t="s">
        <v>40</v>
      </c>
      <c r="B83" s="90">
        <f t="shared" ref="B83:N83" si="32">B64-B77+B68</f>
        <v>768240.17976388801</v>
      </c>
      <c r="C83" s="90">
        <f t="shared" si="32"/>
        <v>1534267.5878194431</v>
      </c>
      <c r="D83" s="90">
        <f t="shared" si="32"/>
        <v>2261582.7113333335</v>
      </c>
      <c r="E83" s="90">
        <f t="shared" si="32"/>
        <v>3157786.9041138869</v>
      </c>
      <c r="F83" s="90">
        <f t="shared" si="32"/>
        <v>4032499.8119277786</v>
      </c>
      <c r="G83" s="90">
        <f t="shared" si="32"/>
        <v>4910442.9570333343</v>
      </c>
      <c r="H83" s="90">
        <f t="shared" si="32"/>
        <v>5759326.5708805583</v>
      </c>
      <c r="I83" s="90">
        <f t="shared" si="32"/>
        <v>6598109.5749444366</v>
      </c>
      <c r="J83" s="90">
        <f t="shared" si="32"/>
        <v>7424854.2743749917</v>
      </c>
      <c r="K83" s="90">
        <f t="shared" si="32"/>
        <v>8239461.0663138889</v>
      </c>
      <c r="L83" s="90">
        <f t="shared" si="32"/>
        <v>9040386.2160361074</v>
      </c>
      <c r="M83" s="90">
        <f t="shared" si="32"/>
        <v>9809916.4847166725</v>
      </c>
      <c r="N83" s="90">
        <f t="shared" si="32"/>
        <v>9809916.4847166725</v>
      </c>
      <c r="O83" s="55"/>
      <c r="P83" s="55"/>
      <c r="Q83" s="55"/>
      <c r="R83" s="55"/>
      <c r="S83" s="55"/>
      <c r="T83" s="55"/>
      <c r="U83" s="55"/>
      <c r="V83" s="55"/>
      <c r="W83" s="55"/>
      <c r="X83" s="55"/>
    </row>
    <row r="84" spans="1:24" ht="15.75" customHeight="1" x14ac:dyDescent="0.35">
      <c r="A84" s="109" t="s">
        <v>41</v>
      </c>
      <c r="B84" s="75">
        <f>B64-B77</f>
        <v>768240.17976388801</v>
      </c>
      <c r="C84" s="110">
        <f t="shared" ref="C84:N84" si="33">IF((C64-C77)&gt;=0,C64-C77,0)</f>
        <v>1534267.5878194431</v>
      </c>
      <c r="D84" s="110">
        <f t="shared" si="33"/>
        <v>2261582.7113333335</v>
      </c>
      <c r="E84" s="110">
        <f t="shared" si="33"/>
        <v>3157786.9041138869</v>
      </c>
      <c r="F84" s="110">
        <f t="shared" si="33"/>
        <v>4032499.8119277786</v>
      </c>
      <c r="G84" s="110">
        <f t="shared" si="33"/>
        <v>4910442.9570333343</v>
      </c>
      <c r="H84" s="110">
        <f t="shared" si="33"/>
        <v>5759326.5708805583</v>
      </c>
      <c r="I84" s="110">
        <f t="shared" si="33"/>
        <v>6598109.5749444366</v>
      </c>
      <c r="J84" s="110">
        <f t="shared" si="33"/>
        <v>7424854.2743749917</v>
      </c>
      <c r="K84" s="110">
        <f t="shared" si="33"/>
        <v>8239461.0663138889</v>
      </c>
      <c r="L84" s="110">
        <f t="shared" si="33"/>
        <v>9040386.2160361074</v>
      </c>
      <c r="M84" s="110">
        <f t="shared" si="33"/>
        <v>9809916.4847166725</v>
      </c>
      <c r="N84" s="110">
        <f t="shared" si="33"/>
        <v>9809916.4847166725</v>
      </c>
      <c r="O84" s="55"/>
      <c r="P84" s="55"/>
      <c r="Q84" s="55"/>
      <c r="R84" s="55"/>
      <c r="S84" s="55"/>
      <c r="T84" s="55"/>
      <c r="U84" s="55"/>
      <c r="V84" s="55"/>
      <c r="W84" s="55"/>
      <c r="X84" s="55"/>
    </row>
    <row r="85" spans="1:24" ht="15.75" customHeight="1" x14ac:dyDescent="0.35">
      <c r="A85" s="109" t="str">
        <f>A62</f>
        <v>Ganancia neta mensual SDO VAC Y SAC MENOS CARGAS</v>
      </c>
      <c r="B85" s="75">
        <f t="shared" ref="B85:B86" si="34">B84</f>
        <v>768240.17976388801</v>
      </c>
      <c r="C85" s="75">
        <f t="shared" ref="C85:N85" si="35">C62</f>
        <v>3478483.8388888892</v>
      </c>
      <c r="D85" s="75">
        <f t="shared" si="35"/>
        <v>3454686.9521249998</v>
      </c>
      <c r="E85" s="75">
        <f t="shared" si="35"/>
        <v>3593745.2258361108</v>
      </c>
      <c r="F85" s="75">
        <f t="shared" si="35"/>
        <v>3572253.940869445</v>
      </c>
      <c r="G85" s="75">
        <f t="shared" si="35"/>
        <v>3575484.1781611107</v>
      </c>
      <c r="H85" s="75">
        <f t="shared" si="35"/>
        <v>3546424.6469027777</v>
      </c>
      <c r="I85" s="75">
        <f t="shared" si="35"/>
        <v>3536324.0371194449</v>
      </c>
      <c r="J85" s="75">
        <f t="shared" si="35"/>
        <v>3524285.7324861111</v>
      </c>
      <c r="K85" s="75">
        <f t="shared" si="35"/>
        <v>3512147.8249944444</v>
      </c>
      <c r="L85" s="75">
        <f t="shared" si="35"/>
        <v>3498466.1827777778</v>
      </c>
      <c r="M85" s="75">
        <f t="shared" si="35"/>
        <v>3467071.3017361108</v>
      </c>
      <c r="N85" s="75">
        <f t="shared" si="35"/>
        <v>42225155.074716657</v>
      </c>
      <c r="O85" s="55"/>
      <c r="P85" s="55"/>
      <c r="Q85" s="55"/>
      <c r="R85" s="55"/>
      <c r="S85" s="55"/>
      <c r="T85" s="55"/>
      <c r="U85" s="55"/>
      <c r="V85" s="55"/>
      <c r="W85" s="55"/>
      <c r="X85" s="55"/>
    </row>
    <row r="86" spans="1:24" ht="15.75" customHeight="1" x14ac:dyDescent="0.35">
      <c r="A86" s="111" t="s">
        <v>42</v>
      </c>
      <c r="B86" s="82">
        <f t="shared" si="34"/>
        <v>768240.17976388801</v>
      </c>
      <c r="C86" s="82">
        <f t="shared" ref="C86:N86" si="36">C84</f>
        <v>1534267.5878194431</v>
      </c>
      <c r="D86" s="82">
        <f t="shared" si="36"/>
        <v>2261582.7113333335</v>
      </c>
      <c r="E86" s="82">
        <f t="shared" si="36"/>
        <v>3157786.9041138869</v>
      </c>
      <c r="F86" s="82">
        <f t="shared" si="36"/>
        <v>4032499.8119277786</v>
      </c>
      <c r="G86" s="82">
        <f t="shared" si="36"/>
        <v>4910442.9570333343</v>
      </c>
      <c r="H86" s="82">
        <f t="shared" si="36"/>
        <v>5759326.5708805583</v>
      </c>
      <c r="I86" s="82">
        <f t="shared" si="36"/>
        <v>6598109.5749444366</v>
      </c>
      <c r="J86" s="82">
        <f t="shared" si="36"/>
        <v>7424854.2743749917</v>
      </c>
      <c r="K86" s="82">
        <f t="shared" si="36"/>
        <v>8239461.0663138889</v>
      </c>
      <c r="L86" s="82">
        <f t="shared" si="36"/>
        <v>9040386.2160361074</v>
      </c>
      <c r="M86" s="82">
        <f t="shared" si="36"/>
        <v>9809916.4847166725</v>
      </c>
      <c r="N86" s="82">
        <f t="shared" si="36"/>
        <v>9809916.4847166725</v>
      </c>
      <c r="O86" s="55"/>
      <c r="P86" s="55"/>
      <c r="Q86" s="55"/>
      <c r="R86" s="55"/>
      <c r="S86" s="55"/>
      <c r="T86" s="55"/>
      <c r="U86" s="55"/>
      <c r="V86" s="55"/>
      <c r="W86" s="55"/>
      <c r="X86" s="55"/>
    </row>
    <row r="87" spans="1:24" ht="15.75" customHeight="1" x14ac:dyDescent="0.35">
      <c r="A87" s="111"/>
      <c r="B87" s="83"/>
      <c r="C87" s="83"/>
      <c r="D87" s="83"/>
      <c r="E87" s="83"/>
      <c r="F87" s="83"/>
      <c r="G87" s="83"/>
      <c r="H87" s="83"/>
      <c r="I87" s="112"/>
      <c r="J87" s="112"/>
      <c r="K87" s="112"/>
      <c r="L87" s="112"/>
      <c r="M87" s="112"/>
      <c r="N87" s="75"/>
      <c r="O87" s="55"/>
      <c r="P87" s="55"/>
      <c r="Q87" s="55"/>
      <c r="R87" s="55"/>
      <c r="S87" s="55"/>
      <c r="T87" s="55"/>
      <c r="U87" s="55"/>
      <c r="V87" s="55"/>
      <c r="W87" s="55"/>
      <c r="X87" s="55"/>
    </row>
    <row r="88" spans="1:24" ht="15.75" customHeight="1" x14ac:dyDescent="0.35">
      <c r="A88" s="111"/>
      <c r="B88" s="83"/>
      <c r="C88" s="83"/>
      <c r="D88" s="83"/>
      <c r="E88" s="83"/>
      <c r="F88" s="83"/>
      <c r="G88" s="83"/>
      <c r="H88" s="83"/>
      <c r="I88" s="83"/>
      <c r="J88" s="112"/>
      <c r="K88" s="112"/>
      <c r="L88" s="112"/>
      <c r="M88" s="112"/>
      <c r="N88" s="75"/>
      <c r="O88" s="55"/>
      <c r="P88" s="55"/>
      <c r="Q88" s="55"/>
      <c r="R88" s="55"/>
      <c r="S88" s="55"/>
      <c r="T88" s="55"/>
      <c r="U88" s="55"/>
      <c r="V88" s="55"/>
      <c r="W88" s="55"/>
      <c r="X88" s="55"/>
    </row>
    <row r="89" spans="1:24" ht="15.75" customHeight="1" x14ac:dyDescent="0.35">
      <c r="A89" s="111"/>
      <c r="B89" s="113">
        <v>1</v>
      </c>
      <c r="C89" s="113">
        <v>2</v>
      </c>
      <c r="D89" s="113">
        <v>3</v>
      </c>
      <c r="E89" s="113">
        <v>4</v>
      </c>
      <c r="F89" s="113">
        <v>5</v>
      </c>
      <c r="G89" s="113">
        <v>6</v>
      </c>
      <c r="H89" s="113">
        <v>7</v>
      </c>
      <c r="I89" s="113">
        <v>8</v>
      </c>
      <c r="J89" s="113">
        <v>9</v>
      </c>
      <c r="K89" s="113">
        <v>10</v>
      </c>
      <c r="L89" s="113">
        <v>11</v>
      </c>
      <c r="M89" s="113">
        <v>12</v>
      </c>
      <c r="N89" s="75">
        <f>SUM(B89:M89)</f>
        <v>78</v>
      </c>
      <c r="O89" s="55"/>
      <c r="P89" s="55"/>
      <c r="Q89" s="55"/>
      <c r="R89" s="55"/>
      <c r="S89" s="55"/>
      <c r="T89" s="55"/>
      <c r="U89" s="55"/>
      <c r="V89" s="55"/>
      <c r="W89" s="55"/>
      <c r="X89" s="55"/>
    </row>
    <row r="90" spans="1:24" ht="15.75" customHeight="1" x14ac:dyDescent="0.35">
      <c r="A90" s="114" t="s">
        <v>43</v>
      </c>
      <c r="B90" s="115">
        <f>IF(B86&gt;0,(VLOOKUP(B86,Escalas!$A$19:$E$27,3)),0)</f>
        <v>80834.55</v>
      </c>
      <c r="C90" s="115">
        <f>IF(C86&gt;0,(VLOOKUP(C86,Escalas!A29:E37,3)),0)</f>
        <v>161669.1</v>
      </c>
      <c r="D90" s="115">
        <f>IF(D86&gt;0,(VLOOKUP(D86,Escalas!A38:E47,3)),0)</f>
        <v>242503.65</v>
      </c>
      <c r="E90" s="115">
        <f>IF(E86&gt;0,(VLOOKUP(E86,Escalas!A48:E57,3)),0)</f>
        <v>323338.2</v>
      </c>
      <c r="F90" s="115">
        <f>IF(F86&gt;0,(VLOOKUP(F86,Escalas!A58:E67,3)),0)</f>
        <v>404172.75</v>
      </c>
      <c r="G90" s="115">
        <f>IF(G86&gt;0,(VLOOKUP(G86,Escalas!A68:E77,3)),0)</f>
        <v>485007.3</v>
      </c>
      <c r="H90" s="115">
        <f>IF(H86&gt;0,(VLOOKUP(H86,Escalas!A78:E87,3)),0)</f>
        <v>439415.31</v>
      </c>
      <c r="I90" s="115">
        <f>IF(I86&gt;0,(VLOOKUP(I86,Escalas!A88:E97,3)),0)</f>
        <v>510140.5</v>
      </c>
      <c r="J90" s="115">
        <f>IF(J86&gt;0,(VLOOKUP(J86,Escalas!A98:E107,3)),0)</f>
        <v>580865.68000000005</v>
      </c>
      <c r="K90" s="115">
        <f>IF(K86&gt;0,(VLOOKUP(K86,Escalas!A108:E117,3)),0)</f>
        <v>651590.86</v>
      </c>
      <c r="L90" s="115">
        <f>IF(L86&gt;0,(VLOOKUP(L86,Escalas!A118:E127,3)),0)</f>
        <v>722316.05</v>
      </c>
      <c r="M90" s="115">
        <f>IF(M86&gt;0,(VLOOKUP(M86,Escalas!A128:E137,3)),0)</f>
        <v>793041.23</v>
      </c>
      <c r="N90" s="115">
        <f>IF(N86&gt;0,(VLOOKUP(N86,Escalas!A128:E137,3)),0)</f>
        <v>793041.23</v>
      </c>
      <c r="O90" s="63"/>
      <c r="P90" s="55"/>
      <c r="Q90" s="55"/>
      <c r="R90" s="55"/>
      <c r="S90" s="55"/>
      <c r="T90" s="55"/>
      <c r="U90" s="55"/>
      <c r="V90" s="55"/>
      <c r="W90" s="55"/>
      <c r="X90" s="55"/>
    </row>
    <row r="91" spans="1:24" ht="15.75" customHeight="1" x14ac:dyDescent="0.35">
      <c r="A91" s="116" t="s">
        <v>44</v>
      </c>
      <c r="B91" s="117">
        <f>IF(B86&gt;0,VLOOKUP(B86,Escalas!$A$19:$E$27,4),0)</f>
        <v>0.19</v>
      </c>
      <c r="C91" s="117">
        <f>IF(C86&gt;0,VLOOKUP(C86,Escalas!A29:E37,4),0)</f>
        <v>0.19</v>
      </c>
      <c r="D91" s="117">
        <f>IF(D86&gt;0,VLOOKUP(D86,Escalas!A38:E47,4),0)</f>
        <v>0.19</v>
      </c>
      <c r="E91" s="117">
        <f>IF(E86&gt;0,VLOOKUP(E86,Escalas!A48:E57,4),0)</f>
        <v>0.19</v>
      </c>
      <c r="F91" s="117">
        <f>IF(F86&gt;0,VLOOKUP(F86,Escalas!A58:E67,4),0)</f>
        <v>0.19</v>
      </c>
      <c r="G91" s="117">
        <f>IF(G86&gt;0,VLOOKUP(G86,Escalas!A68:E77,4),0)</f>
        <v>0.19</v>
      </c>
      <c r="H91" s="117">
        <f>IF(H86&gt;0,VLOOKUP(H86,Escalas!A78:E87,4),0)</f>
        <v>0.19</v>
      </c>
      <c r="I91" s="117">
        <f>IF(I86&gt;0,VLOOKUP(I86,Escalas!A88:E97,4),0)</f>
        <v>0.19</v>
      </c>
      <c r="J91" s="117">
        <f>IF(J86&gt;0,VLOOKUP(J86,Escalas!A98:E107,4),0)</f>
        <v>0.19</v>
      </c>
      <c r="K91" s="117">
        <f>IF(K86&gt;0,VLOOKUP(K86,Escalas!A108:E117,4),0)</f>
        <v>0.19</v>
      </c>
      <c r="L91" s="117">
        <f>IF(L86&gt;0,VLOOKUP(L86,Escalas!A118:E127,4),0)</f>
        <v>0.19</v>
      </c>
      <c r="M91" s="117">
        <f>IF(M86&gt;0,VLOOKUP(M86,Escalas!A128:E137,4),0)</f>
        <v>0.19</v>
      </c>
      <c r="N91" s="117">
        <f>IF(N86&gt;0,VLOOKUP(N86,Escalas!A128:E137,4),0)</f>
        <v>0.19</v>
      </c>
      <c r="O91" s="55"/>
      <c r="P91" s="55"/>
      <c r="Q91" s="55"/>
      <c r="R91" s="55"/>
      <c r="S91" s="55"/>
      <c r="T91" s="55"/>
      <c r="U91" s="55"/>
      <c r="V91" s="55"/>
      <c r="W91" s="55"/>
      <c r="X91" s="55"/>
    </row>
    <row r="92" spans="1:24" ht="15.75" customHeight="1" x14ac:dyDescent="0.35">
      <c r="A92" s="118" t="s">
        <v>45</v>
      </c>
      <c r="B92" s="115">
        <f>IF(B86&gt;0,(VLOOKUP(B$86,Escalas!$A$19:$E$27,5)*B89),0)</f>
        <v>750011.28</v>
      </c>
      <c r="C92" s="115">
        <f>IF(C86&gt;0,(VLOOKUP(C$86,Escalas!A29:E37,5)),0)</f>
        <v>1500022.57</v>
      </c>
      <c r="D92" s="115">
        <f>IF(D86&gt;0,(VLOOKUP(D$86,Escalas!A38:E47,5)),0)</f>
        <v>2250033.85</v>
      </c>
      <c r="E92" s="115">
        <f>IF(E86&gt;0,(VLOOKUP(E$86,Escalas!A48:E57,5)),0)</f>
        <v>3000045.13</v>
      </c>
      <c r="F92" s="115">
        <f>IF(F86&gt;0,(VLOOKUP(F$86,Escalas!A58:E67,5)),0)</f>
        <v>3750056.42</v>
      </c>
      <c r="G92" s="115">
        <f>IF(G86&gt;0,(VLOOKUP(G$86,Escalas!A68:E77,5)),0)</f>
        <v>4500067.7</v>
      </c>
      <c r="H92" s="115">
        <f>IF(H86&gt;0,(VLOOKUP(H$86,Escalas!A78:E87,5)),0)</f>
        <v>4077049.3</v>
      </c>
      <c r="I92" s="115">
        <f>IF(I86&gt;0,(VLOOKUP(I$86,Escalas!A88:E97,5)),0)</f>
        <v>4733262.3499999996</v>
      </c>
      <c r="J92" s="115">
        <f>IF(J86&gt;0,(VLOOKUP(J$86,Escalas!A98:E107,5)),0)</f>
        <v>5389475.3899999997</v>
      </c>
      <c r="K92" s="115">
        <f>IF(K86&gt;0,(VLOOKUP(K$86,Escalas!A108:E117,5)),0)</f>
        <v>6045688.4299999997</v>
      </c>
      <c r="L92" s="115">
        <f>IF(L86&gt;0,(VLOOKUP(L$86,Escalas!A118:E127,5)),0)</f>
        <v>6701901.4800000004</v>
      </c>
      <c r="M92" s="115">
        <f>IF(M86&gt;0,(VLOOKUP(M$86,Escalas!A128:E137,5)),0)</f>
        <v>7358114.5199999996</v>
      </c>
      <c r="N92" s="115">
        <f>IF(N86&gt;0,(VLOOKUP(N$86,Escalas!A128:E137,5)),0)</f>
        <v>7358114.5199999996</v>
      </c>
      <c r="O92" s="55"/>
      <c r="P92" s="55"/>
      <c r="Q92" s="55"/>
      <c r="R92" s="55"/>
      <c r="S92" s="55"/>
      <c r="T92" s="55"/>
      <c r="U92" s="55"/>
      <c r="V92" s="55"/>
      <c r="W92" s="55"/>
      <c r="X92" s="55"/>
    </row>
    <row r="93" spans="1:24" ht="15.75" customHeight="1" x14ac:dyDescent="0.35">
      <c r="A93" s="119"/>
      <c r="B93" s="115"/>
      <c r="C93" s="115"/>
      <c r="D93" s="115"/>
      <c r="E93" s="115"/>
      <c r="F93" s="115"/>
      <c r="G93" s="115"/>
      <c r="H93" s="115"/>
      <c r="I93" s="115"/>
      <c r="J93" s="115"/>
      <c r="K93" s="115"/>
      <c r="L93" s="115"/>
      <c r="M93" s="115"/>
      <c r="N93" s="75">
        <f>SUM(B93:M93)</f>
        <v>0</v>
      </c>
      <c r="O93" s="55"/>
      <c r="P93" s="55"/>
      <c r="Q93" s="55"/>
      <c r="R93" s="55"/>
      <c r="S93" s="55"/>
      <c r="T93" s="55"/>
      <c r="U93" s="55"/>
      <c r="V93" s="55"/>
      <c r="W93" s="55"/>
      <c r="X93" s="55"/>
    </row>
    <row r="94" spans="1:24" ht="15.75" customHeight="1" x14ac:dyDescent="0.35">
      <c r="A94" s="118" t="s">
        <v>46</v>
      </c>
      <c r="B94" s="115">
        <f t="shared" ref="B94:N94" si="37">IF(B86&gt;0,+B86-B92,0)</f>
        <v>18228.899763887981</v>
      </c>
      <c r="C94" s="115">
        <f t="shared" si="37"/>
        <v>34245.017819443019</v>
      </c>
      <c r="D94" s="115">
        <f t="shared" si="37"/>
        <v>11548.861333333421</v>
      </c>
      <c r="E94" s="115">
        <f t="shared" si="37"/>
        <v>157741.77411388699</v>
      </c>
      <c r="F94" s="115">
        <f t="shared" si="37"/>
        <v>282443.39192777872</v>
      </c>
      <c r="G94" s="115">
        <f t="shared" si="37"/>
        <v>410375.25703333411</v>
      </c>
      <c r="H94" s="115">
        <f t="shared" si="37"/>
        <v>1682277.2708805585</v>
      </c>
      <c r="I94" s="115">
        <f t="shared" si="37"/>
        <v>1864847.2249444369</v>
      </c>
      <c r="J94" s="115">
        <f t="shared" si="37"/>
        <v>2035378.884374992</v>
      </c>
      <c r="K94" s="115">
        <f t="shared" si="37"/>
        <v>2193772.6363138892</v>
      </c>
      <c r="L94" s="115">
        <f t="shared" si="37"/>
        <v>2338484.7360361069</v>
      </c>
      <c r="M94" s="115">
        <f t="shared" si="37"/>
        <v>2451801.9647166729</v>
      </c>
      <c r="N94" s="115">
        <f t="shared" si="37"/>
        <v>2451801.9647166729</v>
      </c>
      <c r="O94" s="55"/>
      <c r="P94" s="55"/>
      <c r="Q94" s="55"/>
      <c r="R94" s="55"/>
      <c r="S94" s="55"/>
      <c r="T94" s="55"/>
      <c r="U94" s="55"/>
      <c r="V94" s="55"/>
      <c r="W94" s="55"/>
      <c r="X94" s="55"/>
    </row>
    <row r="95" spans="1:24" ht="15.75" customHeight="1" x14ac:dyDescent="0.35">
      <c r="A95" s="118" t="s">
        <v>47</v>
      </c>
      <c r="B95" s="115">
        <f t="shared" ref="B95:N95" si="38">+B91*B94</f>
        <v>3463.4909551387163</v>
      </c>
      <c r="C95" s="115">
        <f t="shared" si="38"/>
        <v>6506.5533856941738</v>
      </c>
      <c r="D95" s="115">
        <f t="shared" si="38"/>
        <v>2194.2836533333502</v>
      </c>
      <c r="E95" s="115">
        <f t="shared" si="38"/>
        <v>29970.937081638527</v>
      </c>
      <c r="F95" s="115">
        <f t="shared" si="38"/>
        <v>53664.24446627796</v>
      </c>
      <c r="G95" s="115">
        <f t="shared" si="38"/>
        <v>77971.298836333488</v>
      </c>
      <c r="H95" s="115">
        <f t="shared" si="38"/>
        <v>319632.6814673061</v>
      </c>
      <c r="I95" s="115">
        <f t="shared" si="38"/>
        <v>354320.97273944301</v>
      </c>
      <c r="J95" s="115">
        <f t="shared" si="38"/>
        <v>386721.9880312485</v>
      </c>
      <c r="K95" s="115">
        <f t="shared" si="38"/>
        <v>416816.80089963897</v>
      </c>
      <c r="L95" s="115">
        <f t="shared" si="38"/>
        <v>444312.09984686034</v>
      </c>
      <c r="M95" s="115">
        <f t="shared" si="38"/>
        <v>465842.37329616788</v>
      </c>
      <c r="N95" s="115">
        <f t="shared" si="38"/>
        <v>465842.37329616788</v>
      </c>
      <c r="O95" s="55"/>
      <c r="P95" s="55"/>
      <c r="Q95" s="55"/>
      <c r="R95" s="55"/>
      <c r="S95" s="55"/>
      <c r="T95" s="55"/>
      <c r="U95" s="55"/>
      <c r="V95" s="55"/>
      <c r="W95" s="55"/>
      <c r="X95" s="55"/>
    </row>
    <row r="96" spans="1:24" ht="15.75" customHeight="1" x14ac:dyDescent="0.35">
      <c r="A96" s="119"/>
      <c r="B96" s="115"/>
      <c r="C96" s="115"/>
      <c r="D96" s="115"/>
      <c r="E96" s="115"/>
      <c r="F96" s="115"/>
      <c r="G96" s="115"/>
      <c r="H96" s="115"/>
      <c r="I96" s="115"/>
      <c r="J96" s="115"/>
      <c r="K96" s="115"/>
      <c r="L96" s="115"/>
      <c r="M96" s="115"/>
      <c r="N96" s="75"/>
      <c r="O96" s="55"/>
      <c r="P96" s="55"/>
      <c r="Q96" s="55"/>
      <c r="R96" s="55"/>
      <c r="S96" s="55"/>
      <c r="T96" s="55"/>
      <c r="U96" s="55"/>
      <c r="V96" s="55"/>
      <c r="W96" s="55"/>
      <c r="X96" s="55"/>
    </row>
    <row r="97" spans="1:24" ht="15.75" customHeight="1" x14ac:dyDescent="0.35">
      <c r="A97" s="120" t="s">
        <v>48</v>
      </c>
      <c r="B97" s="121">
        <f t="shared" ref="B97:N97" si="39">+B90+B95</f>
        <v>84298.040955138713</v>
      </c>
      <c r="C97" s="121">
        <f t="shared" si="39"/>
        <v>168175.65338569417</v>
      </c>
      <c r="D97" s="121">
        <f t="shared" si="39"/>
        <v>244697.93365333334</v>
      </c>
      <c r="E97" s="121">
        <f t="shared" si="39"/>
        <v>353309.13708163856</v>
      </c>
      <c r="F97" s="121">
        <f t="shared" si="39"/>
        <v>457836.99446627795</v>
      </c>
      <c r="G97" s="121">
        <f t="shared" si="39"/>
        <v>562978.59883633349</v>
      </c>
      <c r="H97" s="122">
        <f t="shared" si="39"/>
        <v>759047.99146730616</v>
      </c>
      <c r="I97" s="123">
        <f t="shared" si="39"/>
        <v>864461.47273944295</v>
      </c>
      <c r="J97" s="123">
        <f t="shared" si="39"/>
        <v>967587.6680312485</v>
      </c>
      <c r="K97" s="123">
        <f t="shared" si="39"/>
        <v>1068407.6608996389</v>
      </c>
      <c r="L97" s="123">
        <f t="shared" si="39"/>
        <v>1166628.1498468604</v>
      </c>
      <c r="M97" s="123">
        <f t="shared" si="39"/>
        <v>1258883.6032961679</v>
      </c>
      <c r="N97" s="123">
        <f t="shared" si="39"/>
        <v>1258883.6032961679</v>
      </c>
      <c r="O97" s="55"/>
      <c r="P97" s="55"/>
      <c r="Q97" s="55"/>
      <c r="R97" s="55"/>
      <c r="S97" s="55"/>
      <c r="T97" s="55"/>
      <c r="U97" s="55"/>
      <c r="V97" s="55"/>
      <c r="W97" s="55"/>
      <c r="X97" s="55"/>
    </row>
    <row r="98" spans="1:24" ht="15.75" customHeight="1" x14ac:dyDescent="0.35">
      <c r="A98" s="119" t="s">
        <v>49</v>
      </c>
      <c r="B98" s="115">
        <v>0</v>
      </c>
      <c r="C98" s="115">
        <f t="shared" ref="C98:M98" si="40">+B99</f>
        <v>84298.040955138713</v>
      </c>
      <c r="D98" s="115">
        <f t="shared" si="40"/>
        <v>168175.65338569417</v>
      </c>
      <c r="E98" s="115">
        <f t="shared" si="40"/>
        <v>244697.93365333334</v>
      </c>
      <c r="F98" s="115">
        <f t="shared" si="40"/>
        <v>353309.13708163856</v>
      </c>
      <c r="G98" s="115">
        <f t="shared" si="40"/>
        <v>457836.99446627795</v>
      </c>
      <c r="H98" s="115">
        <f t="shared" si="40"/>
        <v>562978.59883633349</v>
      </c>
      <c r="I98" s="115">
        <f t="shared" si="40"/>
        <v>759047.99146730616</v>
      </c>
      <c r="J98" s="115">
        <f t="shared" si="40"/>
        <v>864461.47273944295</v>
      </c>
      <c r="K98" s="115">
        <f t="shared" si="40"/>
        <v>967587.6680312485</v>
      </c>
      <c r="L98" s="115">
        <f t="shared" si="40"/>
        <v>1068407.6608996389</v>
      </c>
      <c r="M98" s="115">
        <f t="shared" si="40"/>
        <v>1166628.1498468604</v>
      </c>
      <c r="N98" s="75">
        <f>M99</f>
        <v>1258883.6032961679</v>
      </c>
      <c r="O98" s="55"/>
      <c r="P98" s="55"/>
      <c r="Q98" s="55"/>
      <c r="R98" s="55"/>
      <c r="S98" s="55"/>
      <c r="T98" s="55"/>
      <c r="U98" s="55"/>
      <c r="V98" s="55"/>
      <c r="W98" s="55"/>
      <c r="X98" s="55"/>
    </row>
    <row r="99" spans="1:24" ht="15.75" customHeight="1" x14ac:dyDescent="0.35">
      <c r="A99" s="119" t="s">
        <v>50</v>
      </c>
      <c r="B99" s="115">
        <f>+B103</f>
        <v>84298.040955138713</v>
      </c>
      <c r="C99" s="115">
        <f t="shared" ref="C99:M99" si="41">+B99+C103</f>
        <v>168175.65338569417</v>
      </c>
      <c r="D99" s="115">
        <f t="shared" si="41"/>
        <v>244697.93365333334</v>
      </c>
      <c r="E99" s="115">
        <f t="shared" si="41"/>
        <v>353309.13708163856</v>
      </c>
      <c r="F99" s="115">
        <f t="shared" si="41"/>
        <v>457836.99446627795</v>
      </c>
      <c r="G99" s="124">
        <f t="shared" si="41"/>
        <v>562978.59883633349</v>
      </c>
      <c r="H99" s="115">
        <f t="shared" si="41"/>
        <v>759047.99146730616</v>
      </c>
      <c r="I99" s="115">
        <f t="shared" si="41"/>
        <v>864461.47273944295</v>
      </c>
      <c r="J99" s="115">
        <f t="shared" si="41"/>
        <v>967587.6680312485</v>
      </c>
      <c r="K99" s="115">
        <f t="shared" si="41"/>
        <v>1068407.6608996389</v>
      </c>
      <c r="L99" s="115">
        <f t="shared" si="41"/>
        <v>1166628.1498468604</v>
      </c>
      <c r="M99" s="115">
        <f t="shared" si="41"/>
        <v>1258883.6032961679</v>
      </c>
      <c r="N99" s="75">
        <f>SUM(B103:M103)</f>
        <v>1258883.6032961679</v>
      </c>
      <c r="O99" s="55"/>
      <c r="P99" s="55"/>
      <c r="Q99" s="55"/>
      <c r="R99" s="55"/>
      <c r="S99" s="55"/>
      <c r="T99" s="55"/>
      <c r="U99" s="55"/>
      <c r="V99" s="55"/>
      <c r="W99" s="55"/>
      <c r="X99" s="55"/>
    </row>
    <row r="100" spans="1:24" ht="15.75" customHeight="1" x14ac:dyDescent="0.35">
      <c r="A100" s="125" t="s">
        <v>51</v>
      </c>
      <c r="B100" s="126"/>
      <c r="C100" s="126"/>
      <c r="D100" s="126"/>
      <c r="E100" s="126"/>
      <c r="F100" s="126"/>
      <c r="G100" s="126"/>
      <c r="H100" s="126">
        <f>SUM(B100:G100)</f>
        <v>0</v>
      </c>
      <c r="I100" s="126"/>
      <c r="J100" s="126"/>
      <c r="K100" s="126"/>
      <c r="L100" s="126"/>
      <c r="M100" s="126"/>
      <c r="N100" s="75">
        <f t="shared" ref="N100:N104" si="42">SUM(B100:M100)</f>
        <v>0</v>
      </c>
      <c r="O100" s="97"/>
      <c r="P100" s="97"/>
      <c r="Q100" s="97"/>
      <c r="R100" s="97"/>
      <c r="S100" s="97"/>
      <c r="T100" s="97"/>
      <c r="U100" s="97"/>
      <c r="V100" s="97"/>
      <c r="W100" s="97"/>
      <c r="X100" s="97"/>
    </row>
    <row r="101" spans="1:24" ht="15.75" customHeight="1" x14ac:dyDescent="0.35">
      <c r="A101" s="127" t="s">
        <v>52</v>
      </c>
      <c r="B101" s="128"/>
      <c r="C101" s="128"/>
      <c r="D101" s="128"/>
      <c r="E101" s="128"/>
      <c r="F101" s="128"/>
      <c r="G101" s="128"/>
      <c r="H101" s="126"/>
      <c r="I101" s="128"/>
      <c r="J101" s="128"/>
      <c r="K101" s="128"/>
      <c r="L101" s="128"/>
      <c r="M101" s="128"/>
      <c r="N101" s="75">
        <f t="shared" si="42"/>
        <v>0</v>
      </c>
      <c r="O101" s="55"/>
      <c r="P101" s="55"/>
      <c r="Q101" s="55"/>
      <c r="R101" s="55"/>
      <c r="S101" s="55"/>
      <c r="T101" s="55"/>
      <c r="U101" s="55"/>
      <c r="V101" s="55"/>
      <c r="W101" s="55"/>
      <c r="X101" s="55"/>
    </row>
    <row r="102" spans="1:24" ht="15.75" customHeight="1" x14ac:dyDescent="0.35">
      <c r="A102" s="129" t="s">
        <v>53</v>
      </c>
      <c r="B102" s="128"/>
      <c r="C102" s="128"/>
      <c r="D102" s="128"/>
      <c r="E102" s="128"/>
      <c r="F102" s="128"/>
      <c r="G102" s="128"/>
      <c r="H102" s="130"/>
      <c r="I102" s="128"/>
      <c r="J102" s="128"/>
      <c r="K102" s="128"/>
      <c r="L102" s="128"/>
      <c r="M102" s="128"/>
      <c r="N102" s="75">
        <f t="shared" si="42"/>
        <v>0</v>
      </c>
      <c r="O102" s="55"/>
      <c r="P102" s="55"/>
      <c r="Q102" s="55"/>
      <c r="R102" s="55"/>
      <c r="S102" s="55"/>
      <c r="T102" s="55"/>
      <c r="U102" s="55"/>
      <c r="V102" s="55"/>
      <c r="W102" s="55"/>
      <c r="X102" s="55"/>
    </row>
    <row r="103" spans="1:24" ht="15.75" customHeight="1" thickBot="1" x14ac:dyDescent="0.4">
      <c r="A103" s="131" t="s">
        <v>54</v>
      </c>
      <c r="B103" s="132">
        <f>+B97</f>
        <v>84298.040955138713</v>
      </c>
      <c r="C103" s="132">
        <f t="shared" ref="C103:M103" si="43">IF(C27&lt;&gt;0,C97-B99,0)</f>
        <v>83877.612430555455</v>
      </c>
      <c r="D103" s="132">
        <f t="shared" si="43"/>
        <v>76522.280267639173</v>
      </c>
      <c r="E103" s="132">
        <f t="shared" si="43"/>
        <v>108611.20342830522</v>
      </c>
      <c r="F103" s="132">
        <f t="shared" si="43"/>
        <v>104527.85738463938</v>
      </c>
      <c r="G103" s="132">
        <f>IF(G27&lt;&gt;0,G97-F99,0)</f>
        <v>105141.60437005555</v>
      </c>
      <c r="H103" s="132">
        <f t="shared" si="43"/>
        <v>196069.39263097267</v>
      </c>
      <c r="I103" s="133">
        <f t="shared" si="43"/>
        <v>105413.48127213679</v>
      </c>
      <c r="J103" s="133">
        <f t="shared" si="43"/>
        <v>103126.19529180555</v>
      </c>
      <c r="K103" s="133">
        <f t="shared" si="43"/>
        <v>100819.9928683904</v>
      </c>
      <c r="L103" s="133">
        <f t="shared" si="43"/>
        <v>98220.488947221544</v>
      </c>
      <c r="M103" s="134">
        <f t="shared" si="43"/>
        <v>92255.453449307475</v>
      </c>
      <c r="N103" s="75">
        <f t="shared" si="42"/>
        <v>1258883.6032961679</v>
      </c>
      <c r="O103" s="86"/>
      <c r="P103" s="86"/>
      <c r="Q103" s="86"/>
      <c r="R103" s="86"/>
      <c r="S103" s="86"/>
      <c r="T103" s="86"/>
      <c r="U103" s="86"/>
      <c r="V103" s="86"/>
      <c r="W103" s="86"/>
      <c r="X103" s="86"/>
    </row>
    <row r="104" spans="1:24" ht="15.75" customHeight="1" thickBot="1" x14ac:dyDescent="0.4">
      <c r="A104" s="131" t="s">
        <v>55</v>
      </c>
      <c r="B104" s="135"/>
      <c r="C104" s="135"/>
      <c r="D104" s="135"/>
      <c r="E104" s="135"/>
      <c r="F104" s="135"/>
      <c r="G104" s="135"/>
      <c r="H104" s="135"/>
      <c r="I104" s="58"/>
      <c r="J104" s="136"/>
      <c r="K104" s="136"/>
      <c r="L104" s="136"/>
      <c r="M104" s="135"/>
      <c r="N104" s="75">
        <f t="shared" si="42"/>
        <v>0</v>
      </c>
      <c r="O104" s="55"/>
      <c r="P104" s="55"/>
      <c r="Q104" s="55"/>
      <c r="R104" s="55"/>
      <c r="S104" s="55"/>
      <c r="T104" s="55"/>
      <c r="U104" s="55"/>
      <c r="V104" s="55"/>
      <c r="W104" s="55"/>
      <c r="X104" s="55"/>
    </row>
    <row r="105" spans="1:24" ht="15.75" customHeight="1" x14ac:dyDescent="0.3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row>
    <row r="106" spans="1:24" ht="15.75" customHeight="1" x14ac:dyDescent="0.3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row>
    <row r="107" spans="1:24" ht="15.75" customHeight="1" x14ac:dyDescent="0.3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row>
    <row r="108" spans="1:24" ht="15.75" customHeight="1" x14ac:dyDescent="0.3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row>
    <row r="109" spans="1:24" ht="15.75" customHeight="1" x14ac:dyDescent="0.3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row>
    <row r="110" spans="1:24" ht="15.75" customHeight="1" x14ac:dyDescent="0.3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row>
    <row r="111" spans="1:24" ht="15.75" customHeight="1" x14ac:dyDescent="0.3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row>
    <row r="112" spans="1:24" ht="15.75" customHeight="1" x14ac:dyDescent="0.3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row>
    <row r="113" spans="1:24" ht="15.75" customHeight="1" x14ac:dyDescent="0.3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row>
    <row r="114" spans="1:24" ht="15.75" customHeight="1" x14ac:dyDescent="0.3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row>
    <row r="115" spans="1:24" ht="15.75" customHeight="1" x14ac:dyDescent="0.3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row>
    <row r="116" spans="1:24" ht="15.75" customHeight="1" x14ac:dyDescent="0.3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row>
    <row r="117" spans="1:24" ht="15.75" customHeight="1" x14ac:dyDescent="0.3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row>
    <row r="118" spans="1:24" ht="15.75" customHeight="1" x14ac:dyDescent="0.3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row>
    <row r="119" spans="1:24" ht="15.75" customHeight="1" x14ac:dyDescent="0.3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row>
    <row r="120" spans="1:24" ht="15.75" customHeight="1" x14ac:dyDescent="0.3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row>
    <row r="121" spans="1:24" ht="15.75" customHeight="1" x14ac:dyDescent="0.3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row>
    <row r="122" spans="1:24" ht="15.75" customHeight="1" x14ac:dyDescent="0.3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row>
    <row r="123" spans="1:24" ht="15.75" customHeight="1" x14ac:dyDescent="0.3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row>
    <row r="124" spans="1:24" ht="15.75" customHeight="1" x14ac:dyDescent="0.3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row>
    <row r="125" spans="1:24" ht="15.75" customHeight="1" x14ac:dyDescent="0.3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row>
    <row r="126" spans="1:24" ht="15.75" customHeight="1" x14ac:dyDescent="0.3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row>
    <row r="127" spans="1:24" ht="15.75" customHeight="1" x14ac:dyDescent="0.3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row>
    <row r="128" spans="1:24" ht="15.75" customHeight="1" x14ac:dyDescent="0.3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row>
    <row r="129" spans="1:24" ht="15.75" customHeight="1" x14ac:dyDescent="0.3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row>
    <row r="130" spans="1:24" ht="15.75" customHeight="1" x14ac:dyDescent="0.3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row>
    <row r="131" spans="1:24" ht="15.75" customHeight="1" x14ac:dyDescent="0.3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row>
    <row r="132" spans="1:24" ht="15.75" customHeight="1" x14ac:dyDescent="0.3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row>
    <row r="133" spans="1:24" ht="15.75" customHeight="1" x14ac:dyDescent="0.3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row>
    <row r="134" spans="1:24" ht="15.75" customHeight="1" x14ac:dyDescent="0.3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row>
    <row r="135" spans="1:24" ht="15.75" customHeight="1" x14ac:dyDescent="0.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row>
    <row r="136" spans="1:24" ht="15.75" customHeight="1" x14ac:dyDescent="0.3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row>
    <row r="137" spans="1:24" ht="15.75" customHeight="1" x14ac:dyDescent="0.3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row>
    <row r="138" spans="1:24" ht="15.75" customHeight="1" x14ac:dyDescent="0.3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row>
    <row r="139" spans="1:24" ht="15.75" customHeight="1" x14ac:dyDescent="0.3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row>
    <row r="140" spans="1:24" ht="15.75" customHeight="1" x14ac:dyDescent="0.3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row>
    <row r="141" spans="1:24" ht="15.75" customHeight="1" x14ac:dyDescent="0.3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row>
    <row r="142" spans="1:24" ht="15.75" customHeight="1" x14ac:dyDescent="0.3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row>
    <row r="143" spans="1:24" ht="15.75" customHeight="1" x14ac:dyDescent="0.3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row>
    <row r="144" spans="1:24" ht="15.75" customHeight="1" x14ac:dyDescent="0.3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row>
    <row r="145" spans="1:24" ht="15.75" customHeight="1" x14ac:dyDescent="0.3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row>
    <row r="146" spans="1:24" ht="15.75" customHeight="1" x14ac:dyDescent="0.3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row>
    <row r="147" spans="1:24" ht="15.75" customHeight="1" x14ac:dyDescent="0.3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row>
    <row r="148" spans="1:24" ht="15.75" customHeight="1" x14ac:dyDescent="0.3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row>
    <row r="149" spans="1:24" ht="15.75" customHeight="1" x14ac:dyDescent="0.3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row>
    <row r="150" spans="1:24" ht="15.75" customHeight="1" x14ac:dyDescent="0.3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row>
    <row r="151" spans="1:24" ht="15.75" customHeight="1" x14ac:dyDescent="0.3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row>
    <row r="152" spans="1:24" ht="15.75" customHeight="1" x14ac:dyDescent="0.3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row>
    <row r="153" spans="1:24" ht="15.75" customHeight="1" x14ac:dyDescent="0.3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row>
    <row r="154" spans="1:24" ht="15.75" customHeight="1" x14ac:dyDescent="0.3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row>
    <row r="155" spans="1:24" ht="15.75" customHeight="1" x14ac:dyDescent="0.3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row>
    <row r="156" spans="1:24" ht="15.75" customHeight="1" x14ac:dyDescent="0.3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row>
    <row r="157" spans="1:24" ht="15.75" customHeight="1" x14ac:dyDescent="0.3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row>
    <row r="158" spans="1:24" ht="15.75" customHeight="1" x14ac:dyDescent="0.3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row>
    <row r="159" spans="1:24" ht="15.75" customHeight="1" x14ac:dyDescent="0.3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row>
    <row r="160" spans="1:24" ht="15.75" customHeight="1" x14ac:dyDescent="0.3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row>
    <row r="161" spans="1:24" ht="15.75" customHeight="1" x14ac:dyDescent="0.3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row>
    <row r="162" spans="1:24" ht="15.75" customHeight="1" x14ac:dyDescent="0.3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row>
    <row r="163" spans="1:24" ht="15.75" customHeight="1" x14ac:dyDescent="0.3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row>
    <row r="164" spans="1:24" ht="15.75" customHeight="1" x14ac:dyDescent="0.3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row>
    <row r="165" spans="1:24" ht="15.75" customHeight="1" x14ac:dyDescent="0.3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row>
    <row r="166" spans="1:24" ht="15.75" customHeight="1" x14ac:dyDescent="0.3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row>
    <row r="167" spans="1:24" ht="15.75" customHeight="1" x14ac:dyDescent="0.3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row>
    <row r="168" spans="1:24" ht="15.75" customHeight="1" x14ac:dyDescent="0.3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row>
    <row r="169" spans="1:24" ht="15.75" customHeight="1" x14ac:dyDescent="0.3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row>
    <row r="170" spans="1:24" ht="15.75" customHeight="1" x14ac:dyDescent="0.3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row>
    <row r="171" spans="1:24" ht="15.75" customHeight="1" x14ac:dyDescent="0.3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row>
    <row r="172" spans="1:24" ht="15.75" customHeight="1" x14ac:dyDescent="0.3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row>
    <row r="173" spans="1:24" ht="15.75" customHeight="1" x14ac:dyDescent="0.3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row>
    <row r="174" spans="1:24" ht="15.75" customHeight="1" x14ac:dyDescent="0.3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row>
    <row r="175" spans="1:24" ht="15.75" customHeight="1" x14ac:dyDescent="0.3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row>
    <row r="176" spans="1:24" ht="15.75" customHeight="1" x14ac:dyDescent="0.3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row>
    <row r="177" spans="1:24" ht="15.75" customHeight="1" x14ac:dyDescent="0.3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row>
    <row r="178" spans="1:24" ht="15.75" customHeight="1" x14ac:dyDescent="0.3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row>
    <row r="179" spans="1:24" ht="15.75" customHeight="1" x14ac:dyDescent="0.3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row>
    <row r="180" spans="1:24" ht="15.75" customHeight="1" x14ac:dyDescent="0.3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row>
    <row r="181" spans="1:24" ht="15.75" customHeight="1" x14ac:dyDescent="0.3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row>
    <row r="182" spans="1:24" ht="15.75" customHeight="1" x14ac:dyDescent="0.3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row>
    <row r="183" spans="1:24" ht="15.75" customHeight="1" x14ac:dyDescent="0.3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row>
    <row r="184" spans="1:24" ht="15.75" customHeight="1" x14ac:dyDescent="0.3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row>
    <row r="185" spans="1:24" ht="15.75" customHeight="1" x14ac:dyDescent="0.3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row>
    <row r="186" spans="1:24" ht="15.75" customHeight="1" x14ac:dyDescent="0.3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row>
    <row r="187" spans="1:24" ht="15.75" customHeight="1" x14ac:dyDescent="0.3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row>
    <row r="188" spans="1:24" ht="15.75" customHeight="1" x14ac:dyDescent="0.3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row>
    <row r="189" spans="1:24" ht="15.75" customHeight="1" x14ac:dyDescent="0.3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row>
    <row r="190" spans="1:24" ht="15.75" customHeight="1" x14ac:dyDescent="0.3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row>
    <row r="191" spans="1:24" ht="15.75" customHeight="1" x14ac:dyDescent="0.3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row>
    <row r="192" spans="1:24" ht="15.75" customHeight="1" x14ac:dyDescent="0.3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row>
    <row r="193" spans="1:24" ht="15.75" customHeight="1" x14ac:dyDescent="0.3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row>
    <row r="194" spans="1:24" ht="15.75" customHeight="1" x14ac:dyDescent="0.3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row>
    <row r="195" spans="1:24" ht="15.75" customHeight="1" x14ac:dyDescent="0.3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row>
    <row r="196" spans="1:24" ht="15.75" customHeight="1" x14ac:dyDescent="0.35">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row>
    <row r="197" spans="1:24" ht="15.75" customHeight="1" x14ac:dyDescent="0.35">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row>
    <row r="198" spans="1:24" ht="15.75" customHeight="1" x14ac:dyDescent="0.35">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row>
    <row r="199" spans="1:24" ht="15.75" customHeight="1" x14ac:dyDescent="0.35">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row>
    <row r="200" spans="1:24" ht="15.75" customHeight="1" x14ac:dyDescent="0.35">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row>
    <row r="201" spans="1:24" ht="15.75" customHeight="1" x14ac:dyDescent="0.35">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row>
    <row r="202" spans="1:24" ht="15.75" customHeight="1" x14ac:dyDescent="0.35">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row>
    <row r="203" spans="1:24" ht="15.75" customHeight="1" x14ac:dyDescent="0.35">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row>
    <row r="204" spans="1:24" ht="15.75" customHeight="1" x14ac:dyDescent="0.35">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row>
    <row r="205" spans="1:24" ht="15.75" customHeight="1" x14ac:dyDescent="0.3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row>
    <row r="206" spans="1:24" ht="15.75" customHeight="1" x14ac:dyDescent="0.35">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row>
    <row r="207" spans="1:24" ht="15.75" customHeight="1" x14ac:dyDescent="0.35">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row>
    <row r="208" spans="1:24" ht="15.75" customHeight="1" x14ac:dyDescent="0.35">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row>
    <row r="209" spans="1:24" ht="15.75" customHeight="1" x14ac:dyDescent="0.35">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row>
    <row r="210" spans="1:24" ht="15.75" customHeight="1" x14ac:dyDescent="0.35">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row>
    <row r="211" spans="1:24" ht="15.75" customHeight="1" x14ac:dyDescent="0.3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row>
    <row r="212" spans="1:24" ht="15.75" customHeight="1" x14ac:dyDescent="0.35">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row>
    <row r="213" spans="1:24" ht="15.75" customHeight="1" x14ac:dyDescent="0.35">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row>
    <row r="214" spans="1:24" ht="15.75" customHeight="1" x14ac:dyDescent="0.35">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row>
    <row r="215" spans="1:24" ht="15.75" customHeight="1" x14ac:dyDescent="0.3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row>
    <row r="216" spans="1:24" ht="15.75" customHeight="1" x14ac:dyDescent="0.35">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row>
    <row r="217" spans="1:24" ht="15.75" customHeight="1" x14ac:dyDescent="0.35">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row>
    <row r="218" spans="1:24" ht="15.75" customHeight="1" x14ac:dyDescent="0.35">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row>
    <row r="219" spans="1:24" ht="15.75" customHeight="1" x14ac:dyDescent="0.35">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row>
    <row r="220" spans="1:24" ht="15.75" customHeight="1" x14ac:dyDescent="0.35">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row>
    <row r="221" spans="1:24" ht="15.75" customHeight="1" x14ac:dyDescent="0.35">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row>
    <row r="222" spans="1:24" ht="15.75" customHeight="1" x14ac:dyDescent="0.35">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row>
    <row r="223" spans="1:24" ht="15.75" customHeight="1" x14ac:dyDescent="0.35">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row>
    <row r="224" spans="1:24" ht="15.75" customHeight="1" x14ac:dyDescent="0.35">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row>
    <row r="225" spans="1:24" ht="15.75" customHeight="1" x14ac:dyDescent="0.3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row>
    <row r="226" spans="1:24" ht="15.75" customHeight="1" x14ac:dyDescent="0.35">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row>
    <row r="227" spans="1:24" ht="15.75" customHeight="1" x14ac:dyDescent="0.35">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row>
    <row r="228" spans="1:24" ht="15.75" customHeight="1" x14ac:dyDescent="0.35">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row>
    <row r="229" spans="1:24" ht="15.75" customHeight="1" x14ac:dyDescent="0.35">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row>
    <row r="230" spans="1:24" ht="15.75" customHeight="1" x14ac:dyDescent="0.35">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row>
    <row r="231" spans="1:24" ht="15.75" customHeight="1" x14ac:dyDescent="0.35">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row>
    <row r="232" spans="1:24" ht="15.75" customHeight="1" x14ac:dyDescent="0.35">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row>
    <row r="233" spans="1:24" ht="15.75" customHeight="1" x14ac:dyDescent="0.35">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row>
    <row r="234" spans="1:24" ht="15.75" customHeight="1" x14ac:dyDescent="0.35">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row>
    <row r="235" spans="1:24" ht="15.75" customHeight="1" x14ac:dyDescent="0.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row>
    <row r="236" spans="1:24" ht="15.75" customHeight="1" x14ac:dyDescent="0.35">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row>
    <row r="237" spans="1:24" ht="15.75" customHeight="1" x14ac:dyDescent="0.35">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row>
    <row r="238" spans="1:24" ht="15.75" customHeight="1" x14ac:dyDescent="0.35">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row>
    <row r="239" spans="1:24" ht="15.75" customHeight="1" x14ac:dyDescent="0.35">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row>
    <row r="240" spans="1:24" ht="15.75" customHeight="1" x14ac:dyDescent="0.35">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row>
    <row r="241" spans="1:24" ht="15.75" customHeight="1" x14ac:dyDescent="0.35">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row>
    <row r="242" spans="1:24" ht="15.75" customHeight="1" x14ac:dyDescent="0.35">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row>
    <row r="243" spans="1:24" ht="15.75" customHeight="1" x14ac:dyDescent="0.35">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row>
    <row r="244" spans="1:24" ht="15.75" customHeight="1" x14ac:dyDescent="0.35">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row>
    <row r="245" spans="1:24" ht="15.75" customHeight="1" x14ac:dyDescent="0.3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row>
    <row r="246" spans="1:24" ht="15.75" customHeight="1" x14ac:dyDescent="0.35">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row>
    <row r="247" spans="1:24" ht="15.75" customHeight="1" x14ac:dyDescent="0.35">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row>
    <row r="248" spans="1:24" ht="15.75" customHeight="1" x14ac:dyDescent="0.35">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row>
    <row r="249" spans="1:24" ht="15.75" customHeight="1" x14ac:dyDescent="0.35">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row>
    <row r="250" spans="1:24" ht="15.75" customHeight="1" x14ac:dyDescent="0.35">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row>
    <row r="251" spans="1:24" ht="15.75" customHeight="1" x14ac:dyDescent="0.35">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row>
    <row r="252" spans="1:24" ht="15.75" customHeight="1" x14ac:dyDescent="0.35">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row>
    <row r="253" spans="1:24" ht="15.75" customHeight="1" x14ac:dyDescent="0.35">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row>
    <row r="254" spans="1:24" ht="15.75" customHeight="1" x14ac:dyDescent="0.35">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row>
    <row r="255" spans="1:24" ht="15.75" customHeight="1" x14ac:dyDescent="0.3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row>
    <row r="256" spans="1:24" ht="15.75" customHeight="1" x14ac:dyDescent="0.35">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row>
    <row r="257" spans="1:24" ht="15.75" customHeight="1" x14ac:dyDescent="0.35">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row>
    <row r="258" spans="1:24" ht="15.75" customHeight="1" x14ac:dyDescent="0.35">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row>
    <row r="259" spans="1:24" ht="15.75" customHeight="1" x14ac:dyDescent="0.35">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row>
    <row r="260" spans="1:24" ht="15.75" customHeight="1" x14ac:dyDescent="0.35">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row>
    <row r="261" spans="1:24" ht="15.75" customHeight="1" x14ac:dyDescent="0.35">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row>
    <row r="262" spans="1:24" ht="15.75" customHeight="1" x14ac:dyDescent="0.35">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row>
    <row r="263" spans="1:24" ht="15.75" customHeight="1" x14ac:dyDescent="0.35">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row>
    <row r="264" spans="1:24" ht="15.75" customHeight="1" x14ac:dyDescent="0.35">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row>
    <row r="265" spans="1:24" ht="15.75" customHeight="1" x14ac:dyDescent="0.3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row>
    <row r="266" spans="1:24" ht="15.75" customHeight="1" x14ac:dyDescent="0.35">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row>
    <row r="267" spans="1:24" ht="15.75" customHeight="1" x14ac:dyDescent="0.35">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row>
    <row r="268" spans="1:24" ht="15.75" customHeight="1" x14ac:dyDescent="0.35">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row>
    <row r="269" spans="1:24" ht="15.75" customHeight="1" x14ac:dyDescent="0.35">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row>
    <row r="270" spans="1:24" ht="15.75" customHeight="1" x14ac:dyDescent="0.35">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row>
    <row r="271" spans="1:24" ht="15.75" customHeight="1" x14ac:dyDescent="0.35">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row>
    <row r="272" spans="1:24" ht="15.75" customHeight="1" x14ac:dyDescent="0.35">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row>
    <row r="273" spans="1:24" ht="15.75" customHeight="1" x14ac:dyDescent="0.35">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row>
    <row r="274" spans="1:24" ht="15.75" customHeight="1" x14ac:dyDescent="0.35">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row>
    <row r="275" spans="1:24" ht="15.75" customHeight="1" x14ac:dyDescent="0.3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row>
    <row r="276" spans="1:24" ht="15.75" customHeight="1" x14ac:dyDescent="0.35">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row>
    <row r="277" spans="1:24" ht="15.75" customHeight="1" x14ac:dyDescent="0.35">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row>
    <row r="278" spans="1:24" ht="15.75" customHeight="1" x14ac:dyDescent="0.35">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row>
    <row r="279" spans="1:24" ht="15.75" customHeight="1" x14ac:dyDescent="0.35">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row>
    <row r="280" spans="1:24" ht="15.75" customHeight="1" x14ac:dyDescent="0.35">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row>
    <row r="281" spans="1:24" ht="15.75" customHeight="1" x14ac:dyDescent="0.35">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row>
    <row r="282" spans="1:24" ht="15.75" customHeight="1" x14ac:dyDescent="0.35">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row>
    <row r="283" spans="1:24" ht="15.75" customHeight="1" x14ac:dyDescent="0.35">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row>
    <row r="284" spans="1:24" ht="15.75" customHeight="1" x14ac:dyDescent="0.35">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row>
    <row r="285" spans="1:24" ht="15.75" customHeight="1" x14ac:dyDescent="0.3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row>
    <row r="286" spans="1:24" ht="15.75" customHeight="1" x14ac:dyDescent="0.35">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row>
    <row r="287" spans="1:24" ht="15.75" customHeight="1" x14ac:dyDescent="0.35">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row>
    <row r="288" spans="1:24" ht="15.75" customHeight="1" x14ac:dyDescent="0.35">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row>
    <row r="289" spans="1:24" ht="15.75" customHeight="1" x14ac:dyDescent="0.35">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row>
    <row r="290" spans="1:24" ht="15.75" customHeight="1" x14ac:dyDescent="0.35">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row>
    <row r="291" spans="1:24" ht="15.75" customHeight="1" x14ac:dyDescent="0.35">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row>
    <row r="292" spans="1:24" ht="15.75" customHeight="1" x14ac:dyDescent="0.35">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row>
    <row r="293" spans="1:24" ht="15.75" customHeight="1" x14ac:dyDescent="0.35">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row>
    <row r="294" spans="1:24" ht="15.75" customHeight="1" x14ac:dyDescent="0.35">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row>
    <row r="295" spans="1:24" ht="15.75" customHeight="1" x14ac:dyDescent="0.3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row>
    <row r="296" spans="1:24" ht="15.75" customHeight="1" x14ac:dyDescent="0.35">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row>
    <row r="297" spans="1:24" ht="15.75" customHeight="1" x14ac:dyDescent="0.35">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row>
    <row r="298" spans="1:24" ht="15.75" customHeight="1" x14ac:dyDescent="0.35">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row>
    <row r="299" spans="1:24" ht="15.75" customHeight="1" x14ac:dyDescent="0.35">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row>
    <row r="300" spans="1:24" ht="15.75" customHeight="1" x14ac:dyDescent="0.35">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row>
    <row r="301" spans="1:24" ht="15.75" customHeight="1" x14ac:dyDescent="0.35">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row>
    <row r="302" spans="1:24" ht="15.75" customHeight="1" x14ac:dyDescent="0.35">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row>
    <row r="303" spans="1:24" ht="15.75" customHeight="1" x14ac:dyDescent="0.35">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row>
    <row r="304" spans="1:24" ht="15.75" customHeight="1" x14ac:dyDescent="0.35">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row>
    <row r="305" spans="1:24" ht="15.75" customHeight="1" x14ac:dyDescent="0.3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row>
    <row r="306" spans="1:24" ht="15.75" customHeight="1" x14ac:dyDescent="0.35">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row>
    <row r="307" spans="1:24" ht="15.75" customHeight="1" x14ac:dyDescent="0.35">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row>
    <row r="308" spans="1:24" ht="15.75" customHeight="1" x14ac:dyDescent="0.35">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row>
    <row r="309" spans="1:24" ht="15.75" customHeight="1" x14ac:dyDescent="0.35">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row>
    <row r="310" spans="1:24" ht="15.75" customHeight="1" x14ac:dyDescent="0.35">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row>
    <row r="311" spans="1:24" ht="15.75" customHeight="1" x14ac:dyDescent="0.35">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row>
    <row r="312" spans="1:24" ht="15.75" customHeight="1" x14ac:dyDescent="0.35">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row>
    <row r="313" spans="1:24" ht="15.75" customHeight="1" x14ac:dyDescent="0.3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row>
    <row r="314" spans="1:24" ht="15.75" customHeight="1" x14ac:dyDescent="0.35">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row>
    <row r="315" spans="1:24" ht="15.75" customHeight="1" x14ac:dyDescent="0.3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row>
    <row r="316" spans="1:24" ht="15.75" customHeight="1" x14ac:dyDescent="0.35">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row>
    <row r="317" spans="1:24" ht="15.75" customHeight="1" x14ac:dyDescent="0.35">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row>
    <row r="318" spans="1:24" ht="15.75" customHeight="1" x14ac:dyDescent="0.35">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row>
    <row r="319" spans="1:24" ht="15.75" customHeight="1" x14ac:dyDescent="0.35">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row>
    <row r="320" spans="1:24" ht="15.75" customHeight="1" x14ac:dyDescent="0.35">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row>
    <row r="321" spans="1:24" ht="15.75" customHeight="1" x14ac:dyDescent="0.35">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row>
    <row r="322" spans="1:24" ht="15.75" customHeight="1" x14ac:dyDescent="0.35">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row>
    <row r="323" spans="1:24" ht="15.75" customHeight="1" x14ac:dyDescent="0.35">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row>
    <row r="324" spans="1:24" ht="15.75" customHeight="1" x14ac:dyDescent="0.35">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row>
    <row r="325" spans="1:24" ht="15.75" customHeight="1" x14ac:dyDescent="0.3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row>
    <row r="326" spans="1:24" ht="15.75" customHeight="1" x14ac:dyDescent="0.35">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row>
    <row r="327" spans="1:24" ht="15.75" customHeight="1" x14ac:dyDescent="0.35">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row>
    <row r="328" spans="1:24" ht="15.75" customHeight="1" x14ac:dyDescent="0.35">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row>
    <row r="329" spans="1:24" ht="15.75" customHeight="1" x14ac:dyDescent="0.35">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row>
    <row r="330" spans="1:24" ht="15.75" customHeight="1" x14ac:dyDescent="0.35">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row>
    <row r="331" spans="1:24" ht="15.75" customHeight="1" x14ac:dyDescent="0.35">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row>
    <row r="332" spans="1:24" ht="15.75" customHeight="1" x14ac:dyDescent="0.35">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row>
    <row r="333" spans="1:24" ht="15.75" customHeight="1" x14ac:dyDescent="0.35">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row>
    <row r="334" spans="1:24" ht="15.75" customHeight="1" x14ac:dyDescent="0.35">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row>
    <row r="335" spans="1:24" ht="15.75" customHeight="1" x14ac:dyDescent="0.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row>
    <row r="336" spans="1:24" ht="15.75" customHeight="1" x14ac:dyDescent="0.35">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row>
    <row r="337" spans="1:24" ht="15.75" customHeight="1" x14ac:dyDescent="0.35">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row>
    <row r="338" spans="1:24" ht="15.75" customHeight="1" x14ac:dyDescent="0.35">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row>
    <row r="339" spans="1:24" ht="15.75" customHeight="1" x14ac:dyDescent="0.35">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row>
    <row r="340" spans="1:24" ht="15.75" customHeight="1" x14ac:dyDescent="0.35">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row>
    <row r="341" spans="1:24" ht="15.75" customHeight="1" x14ac:dyDescent="0.35">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row>
    <row r="342" spans="1:24" ht="15.75" customHeight="1" x14ac:dyDescent="0.35">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row>
    <row r="343" spans="1:24" ht="15.75" customHeight="1" x14ac:dyDescent="0.35">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row>
    <row r="344" spans="1:24" ht="15.75" customHeight="1" x14ac:dyDescent="0.35">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row>
    <row r="345" spans="1:24" ht="15.75" customHeight="1" x14ac:dyDescent="0.3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row>
    <row r="346" spans="1:24" ht="15.75" customHeight="1" x14ac:dyDescent="0.35">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row>
    <row r="347" spans="1:24" ht="15.75" customHeight="1" x14ac:dyDescent="0.35">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row>
    <row r="348" spans="1:24" ht="15.75" customHeight="1" x14ac:dyDescent="0.35">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row>
    <row r="349" spans="1:24" ht="15.75" customHeight="1" x14ac:dyDescent="0.35">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row>
    <row r="350" spans="1:24" ht="15.75" customHeight="1" x14ac:dyDescent="0.35">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row>
    <row r="351" spans="1:24" ht="15.75" customHeight="1" x14ac:dyDescent="0.35">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row>
    <row r="352" spans="1:24" ht="15.75" customHeight="1" x14ac:dyDescent="0.35">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row>
    <row r="353" spans="1:24" ht="15.75" customHeight="1" x14ac:dyDescent="0.35">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row>
    <row r="354" spans="1:24" ht="15.75" customHeight="1" x14ac:dyDescent="0.35">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row>
    <row r="355" spans="1:24" ht="15.75" customHeight="1" x14ac:dyDescent="0.3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row>
    <row r="356" spans="1:24" ht="15.75" customHeight="1" x14ac:dyDescent="0.35">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row>
    <row r="357" spans="1:24" ht="15.75" customHeight="1" x14ac:dyDescent="0.35">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row>
    <row r="358" spans="1:24" ht="15.75" customHeight="1" x14ac:dyDescent="0.35">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row>
    <row r="359" spans="1:24" ht="15.75" customHeight="1" x14ac:dyDescent="0.35">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row>
    <row r="360" spans="1:24" ht="15.75" customHeight="1" x14ac:dyDescent="0.35">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row>
    <row r="361" spans="1:24" ht="15.75" customHeight="1" x14ac:dyDescent="0.35">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row>
    <row r="362" spans="1:24" ht="15.75" customHeight="1" x14ac:dyDescent="0.35">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row>
    <row r="363" spans="1:24" ht="15.75" customHeight="1" x14ac:dyDescent="0.35">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row>
    <row r="364" spans="1:24" ht="15.75" customHeight="1" x14ac:dyDescent="0.35">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row>
    <row r="365" spans="1:24" ht="15.75" customHeight="1" x14ac:dyDescent="0.3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row>
    <row r="366" spans="1:24" ht="15.75" customHeight="1" x14ac:dyDescent="0.35">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row>
    <row r="367" spans="1:24" ht="15.75" customHeight="1" x14ac:dyDescent="0.35">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row>
    <row r="368" spans="1:24" ht="15.75" customHeight="1" x14ac:dyDescent="0.35">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row>
    <row r="369" spans="1:24" ht="15.75" customHeight="1" x14ac:dyDescent="0.35">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row>
    <row r="370" spans="1:24" ht="15.75" customHeight="1" x14ac:dyDescent="0.35">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row>
    <row r="371" spans="1:24" ht="15.75" customHeight="1" x14ac:dyDescent="0.35">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row>
    <row r="372" spans="1:24" ht="15.75" customHeight="1" x14ac:dyDescent="0.35">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row>
    <row r="373" spans="1:24" ht="15.75" customHeight="1" x14ac:dyDescent="0.35">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row>
    <row r="374" spans="1:24" ht="15.75" customHeight="1" x14ac:dyDescent="0.35">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row>
    <row r="375" spans="1:24" ht="15.75" customHeight="1" x14ac:dyDescent="0.3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row>
    <row r="376" spans="1:24" ht="15.75" customHeight="1" x14ac:dyDescent="0.35">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row>
    <row r="377" spans="1:24" ht="15.75" customHeight="1" x14ac:dyDescent="0.35">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row>
    <row r="378" spans="1:24" ht="15.75" customHeight="1" x14ac:dyDescent="0.35">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row>
    <row r="379" spans="1:24" ht="15.75" customHeight="1" x14ac:dyDescent="0.35">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row>
    <row r="380" spans="1:24" ht="15.75" customHeight="1" x14ac:dyDescent="0.35">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row>
    <row r="381" spans="1:24" ht="15.75" customHeight="1" x14ac:dyDescent="0.35">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row>
    <row r="382" spans="1:24" ht="15.75" customHeight="1" x14ac:dyDescent="0.35">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row>
    <row r="383" spans="1:24" ht="15.75" customHeight="1" x14ac:dyDescent="0.35">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row>
    <row r="384" spans="1:24" ht="15.75" customHeight="1" x14ac:dyDescent="0.35">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row>
    <row r="385" spans="1:24" ht="15.75" customHeight="1" x14ac:dyDescent="0.3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row>
    <row r="386" spans="1:24" ht="15.75" customHeight="1" x14ac:dyDescent="0.35">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row>
    <row r="387" spans="1:24" ht="15.75" customHeight="1" x14ac:dyDescent="0.35">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row>
    <row r="388" spans="1:24" ht="15.75" customHeight="1" x14ac:dyDescent="0.35">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row>
    <row r="389" spans="1:24" ht="15.75" customHeight="1" x14ac:dyDescent="0.35">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row>
    <row r="390" spans="1:24" ht="15.75" customHeight="1" x14ac:dyDescent="0.35">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row>
    <row r="391" spans="1:24" ht="15.75" customHeight="1" x14ac:dyDescent="0.35">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row>
    <row r="392" spans="1:24" ht="15.75" customHeight="1" x14ac:dyDescent="0.35">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row>
    <row r="393" spans="1:24" ht="15.75" customHeight="1" x14ac:dyDescent="0.35">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row>
    <row r="394" spans="1:24" ht="15.75" customHeight="1" x14ac:dyDescent="0.35">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row>
    <row r="395" spans="1:24" ht="15.75" customHeight="1" x14ac:dyDescent="0.3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row>
    <row r="396" spans="1:24" ht="15.75" customHeight="1" x14ac:dyDescent="0.35">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row>
    <row r="397" spans="1:24" ht="15.75" customHeight="1" x14ac:dyDescent="0.35">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row>
    <row r="398" spans="1:24" ht="15.75" customHeight="1" x14ac:dyDescent="0.35">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row>
    <row r="399" spans="1:24" ht="15.75" customHeight="1" x14ac:dyDescent="0.35">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row>
    <row r="400" spans="1:24" ht="15.75" customHeight="1" x14ac:dyDescent="0.35">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row>
    <row r="401" spans="1:24" ht="15.75" customHeight="1" x14ac:dyDescent="0.35">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row>
    <row r="402" spans="1:24" ht="15.75" customHeight="1" x14ac:dyDescent="0.35">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row>
    <row r="403" spans="1:24" ht="15.75" customHeight="1" x14ac:dyDescent="0.35">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row>
    <row r="404" spans="1:24" ht="15.75" customHeight="1" x14ac:dyDescent="0.35">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row>
    <row r="405" spans="1:24" ht="15.75" customHeight="1" x14ac:dyDescent="0.3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row>
    <row r="406" spans="1:24" ht="15.75" customHeight="1" x14ac:dyDescent="0.35">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row>
    <row r="407" spans="1:24" ht="15.75" customHeight="1" x14ac:dyDescent="0.35">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row>
    <row r="408" spans="1:24" ht="15.75" customHeight="1" x14ac:dyDescent="0.35">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row>
    <row r="409" spans="1:24" ht="15.75" customHeight="1" x14ac:dyDescent="0.35">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row>
    <row r="410" spans="1:24" ht="15.75" customHeight="1" x14ac:dyDescent="0.35">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row>
    <row r="411" spans="1:24" ht="15.75" customHeight="1" x14ac:dyDescent="0.35">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row>
    <row r="412" spans="1:24" ht="15.75" customHeight="1" x14ac:dyDescent="0.35">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row>
    <row r="413" spans="1:24" ht="15.75" customHeight="1" x14ac:dyDescent="0.35">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row>
    <row r="414" spans="1:24" ht="15.75" customHeight="1" x14ac:dyDescent="0.35">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row>
    <row r="415" spans="1:24" ht="15.75" customHeight="1" x14ac:dyDescent="0.3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row>
    <row r="416" spans="1:24" ht="15.75" customHeight="1" x14ac:dyDescent="0.35">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row>
    <row r="417" spans="1:24" ht="15.75" customHeight="1" x14ac:dyDescent="0.35">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row>
    <row r="418" spans="1:24" ht="15.75" customHeight="1" x14ac:dyDescent="0.35">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row>
    <row r="419" spans="1:24" ht="15.75" customHeight="1" x14ac:dyDescent="0.35">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row>
    <row r="420" spans="1:24" ht="15.75" customHeight="1" x14ac:dyDescent="0.35">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row>
    <row r="421" spans="1:24" ht="15.75" customHeight="1" x14ac:dyDescent="0.35">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row>
    <row r="422" spans="1:24" ht="15.75" customHeight="1" x14ac:dyDescent="0.35">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row>
    <row r="423" spans="1:24" ht="15.75" customHeight="1" x14ac:dyDescent="0.35">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row>
    <row r="424" spans="1:24" ht="15.75" customHeight="1" x14ac:dyDescent="0.35">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row>
    <row r="425" spans="1:24" ht="15.75" customHeight="1" x14ac:dyDescent="0.3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row>
    <row r="426" spans="1:24" ht="15.75" customHeight="1" x14ac:dyDescent="0.35">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row>
    <row r="427" spans="1:24" ht="15.75" customHeight="1" x14ac:dyDescent="0.35">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row>
    <row r="428" spans="1:24" ht="15.75" customHeight="1" x14ac:dyDescent="0.35">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row>
    <row r="429" spans="1:24" ht="15.75" customHeight="1" x14ac:dyDescent="0.35">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row>
    <row r="430" spans="1:24" ht="15.75" customHeight="1" x14ac:dyDescent="0.35">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row>
    <row r="431" spans="1:24" ht="15.75" customHeight="1" x14ac:dyDescent="0.35">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row>
    <row r="432" spans="1:24" ht="15.75" customHeight="1" x14ac:dyDescent="0.35">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row>
    <row r="433" spans="1:24" ht="15.75" customHeight="1" x14ac:dyDescent="0.35">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row>
    <row r="434" spans="1:24" ht="15.75" customHeight="1" x14ac:dyDescent="0.35">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row>
    <row r="435" spans="1:24" ht="15.75" customHeight="1" x14ac:dyDescent="0.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row>
    <row r="436" spans="1:24" ht="15.75" customHeight="1" x14ac:dyDescent="0.35">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row>
    <row r="437" spans="1:24" ht="15.75" customHeight="1" x14ac:dyDescent="0.35">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row>
    <row r="438" spans="1:24" ht="15.75" customHeight="1" x14ac:dyDescent="0.35">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row>
    <row r="439" spans="1:24" ht="15.75" customHeight="1" x14ac:dyDescent="0.35">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row>
    <row r="440" spans="1:24" ht="15.75" customHeight="1" x14ac:dyDescent="0.35">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row>
    <row r="441" spans="1:24" ht="15.75" customHeight="1" x14ac:dyDescent="0.35">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row>
    <row r="442" spans="1:24" ht="15.75" customHeight="1" x14ac:dyDescent="0.35">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row>
    <row r="443" spans="1:24" ht="15.75" customHeight="1" x14ac:dyDescent="0.35">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row>
    <row r="444" spans="1:24" ht="15.75" customHeight="1" x14ac:dyDescent="0.35">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row>
    <row r="445" spans="1:24" ht="15.75" customHeight="1" x14ac:dyDescent="0.3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row>
    <row r="446" spans="1:24" ht="15.75" customHeight="1" x14ac:dyDescent="0.35">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row>
    <row r="447" spans="1:24" ht="15.75" customHeight="1" x14ac:dyDescent="0.35">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row>
    <row r="448" spans="1:24" ht="15.75" customHeight="1" x14ac:dyDescent="0.35">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row>
    <row r="449" spans="1:24" ht="15.75" customHeight="1" x14ac:dyDescent="0.35">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row>
    <row r="450" spans="1:24" ht="15.75" customHeight="1" x14ac:dyDescent="0.35">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row>
    <row r="451" spans="1:24" ht="15.75" customHeight="1" x14ac:dyDescent="0.35">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row>
    <row r="452" spans="1:24" ht="15.75" customHeight="1" x14ac:dyDescent="0.35">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row>
    <row r="453" spans="1:24" ht="15.75" customHeight="1" x14ac:dyDescent="0.35">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row>
    <row r="454" spans="1:24" ht="15.75" customHeight="1" x14ac:dyDescent="0.35">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row>
    <row r="455" spans="1:24" ht="15.75" customHeight="1" x14ac:dyDescent="0.3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row>
    <row r="456" spans="1:24" ht="15.75" customHeight="1" x14ac:dyDescent="0.35">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row>
    <row r="457" spans="1:24" ht="15.75" customHeight="1" x14ac:dyDescent="0.35">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row>
    <row r="458" spans="1:24" ht="15.75" customHeight="1" x14ac:dyDescent="0.35">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row>
    <row r="459" spans="1:24" ht="15.75" customHeight="1" x14ac:dyDescent="0.35">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row>
    <row r="460" spans="1:24" ht="15.75" customHeight="1" x14ac:dyDescent="0.35">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row>
    <row r="461" spans="1:24" ht="15.75" customHeight="1" x14ac:dyDescent="0.35">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row>
    <row r="462" spans="1:24" ht="15.75" customHeight="1" x14ac:dyDescent="0.35">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row>
    <row r="463" spans="1:24" ht="15.75" customHeight="1" x14ac:dyDescent="0.35">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row>
    <row r="464" spans="1:24" ht="15.75" customHeight="1" x14ac:dyDescent="0.35">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row>
    <row r="465" spans="1:24" ht="15.75" customHeight="1" x14ac:dyDescent="0.3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row>
    <row r="466" spans="1:24" ht="15.75" customHeight="1" x14ac:dyDescent="0.35">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row>
    <row r="467" spans="1:24" ht="15.75" customHeight="1" x14ac:dyDescent="0.35">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row>
    <row r="468" spans="1:24" ht="15.75" customHeight="1" x14ac:dyDescent="0.35">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row>
    <row r="469" spans="1:24" ht="15.75" customHeight="1" x14ac:dyDescent="0.35">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row>
    <row r="470" spans="1:24" ht="15.75" customHeight="1" x14ac:dyDescent="0.35">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row>
    <row r="471" spans="1:24" ht="15.75" customHeight="1" x14ac:dyDescent="0.35">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row>
    <row r="472" spans="1:24" ht="15.75" customHeight="1" x14ac:dyDescent="0.35">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row>
    <row r="473" spans="1:24" ht="15.75" customHeight="1" x14ac:dyDescent="0.35">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row>
    <row r="474" spans="1:24" ht="15.75" customHeight="1" x14ac:dyDescent="0.35">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row>
    <row r="475" spans="1:24" ht="15.75" customHeight="1" x14ac:dyDescent="0.3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row>
    <row r="476" spans="1:24" ht="15.75" customHeight="1" x14ac:dyDescent="0.35">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row>
    <row r="477" spans="1:24" ht="15.75" customHeight="1" x14ac:dyDescent="0.35">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row>
    <row r="478" spans="1:24" ht="15.75" customHeight="1" x14ac:dyDescent="0.35">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row>
    <row r="479" spans="1:24" ht="15.75" customHeight="1" x14ac:dyDescent="0.35">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row>
    <row r="480" spans="1:24" ht="15.75" customHeight="1" x14ac:dyDescent="0.35">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row>
    <row r="481" spans="1:24" ht="15.75" customHeight="1" x14ac:dyDescent="0.35">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row>
    <row r="482" spans="1:24" ht="15.75" customHeight="1" x14ac:dyDescent="0.35">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row>
    <row r="483" spans="1:24" ht="15.75" customHeight="1" x14ac:dyDescent="0.35">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row>
    <row r="484" spans="1:24" ht="15.75" customHeight="1" x14ac:dyDescent="0.35">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row>
    <row r="485" spans="1:24" ht="15.75" customHeight="1" x14ac:dyDescent="0.3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row>
    <row r="486" spans="1:24" ht="15.75" customHeight="1" x14ac:dyDescent="0.35">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row>
    <row r="487" spans="1:24" ht="15.75" customHeight="1" x14ac:dyDescent="0.35">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row>
    <row r="488" spans="1:24" ht="15.75" customHeight="1" x14ac:dyDescent="0.35">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row>
    <row r="489" spans="1:24" ht="15.75" customHeight="1" x14ac:dyDescent="0.35">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row>
    <row r="490" spans="1:24" ht="15.75" customHeight="1" x14ac:dyDescent="0.35">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row>
    <row r="491" spans="1:24" ht="15.75" customHeight="1" x14ac:dyDescent="0.35">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row>
    <row r="492" spans="1:24" ht="15.75" customHeight="1" x14ac:dyDescent="0.35">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row>
    <row r="493" spans="1:24" ht="15.75" customHeight="1" x14ac:dyDescent="0.35">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row>
    <row r="494" spans="1:24" ht="15.75" customHeight="1" x14ac:dyDescent="0.35">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row>
    <row r="495" spans="1:24" ht="15.75" customHeight="1" x14ac:dyDescent="0.3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row>
    <row r="496" spans="1:24" ht="15.75" customHeight="1" x14ac:dyDescent="0.35">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row>
    <row r="497" spans="1:24" ht="15.75" customHeight="1" x14ac:dyDescent="0.35">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row>
    <row r="498" spans="1:24" ht="15.75" customHeight="1" x14ac:dyDescent="0.35">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row>
    <row r="499" spans="1:24" ht="15.75" customHeight="1" x14ac:dyDescent="0.35">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row>
    <row r="500" spans="1:24" ht="15.75" customHeight="1" x14ac:dyDescent="0.35">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row>
    <row r="501" spans="1:24" ht="15.75" customHeight="1" x14ac:dyDescent="0.35">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row>
    <row r="502" spans="1:24" ht="15.75" customHeight="1" x14ac:dyDescent="0.35">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row>
    <row r="503" spans="1:24" ht="15.75" customHeight="1" x14ac:dyDescent="0.35">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row>
    <row r="504" spans="1:24" ht="15.75" customHeight="1" x14ac:dyDescent="0.35">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row>
    <row r="505" spans="1:24" ht="15.75" customHeight="1" x14ac:dyDescent="0.3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row>
    <row r="506" spans="1:24" ht="15.75" customHeight="1" x14ac:dyDescent="0.35">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row>
    <row r="507" spans="1:24" ht="15.75" customHeight="1" x14ac:dyDescent="0.35">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row>
    <row r="508" spans="1:24" ht="15.75" customHeight="1" x14ac:dyDescent="0.35">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row>
    <row r="509" spans="1:24" ht="15.75" customHeight="1" x14ac:dyDescent="0.35">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row>
    <row r="510" spans="1:24" ht="15.75" customHeight="1" x14ac:dyDescent="0.35">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row>
    <row r="511" spans="1:24" ht="15.75" customHeight="1" x14ac:dyDescent="0.35">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row>
    <row r="512" spans="1:24" ht="15.75" customHeight="1" x14ac:dyDescent="0.35">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row>
    <row r="513" spans="1:24" ht="15.75" customHeight="1" x14ac:dyDescent="0.35">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row>
    <row r="514" spans="1:24" ht="15.75" customHeight="1" x14ac:dyDescent="0.35">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row>
    <row r="515" spans="1:24" ht="15.75" customHeight="1" x14ac:dyDescent="0.3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row>
    <row r="516" spans="1:24" ht="15.75" customHeight="1" x14ac:dyDescent="0.35">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row>
    <row r="517" spans="1:24" ht="15.75" customHeight="1" x14ac:dyDescent="0.35">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row>
    <row r="518" spans="1:24" ht="15.75" customHeight="1" x14ac:dyDescent="0.35">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row>
    <row r="519" spans="1:24" ht="15.75" customHeight="1" x14ac:dyDescent="0.35">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row>
    <row r="520" spans="1:24" ht="15.75" customHeight="1" x14ac:dyDescent="0.35">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row>
    <row r="521" spans="1:24" ht="15.75" customHeight="1" x14ac:dyDescent="0.35">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row>
    <row r="522" spans="1:24" ht="15.75" customHeight="1" x14ac:dyDescent="0.35">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row>
    <row r="523" spans="1:24" ht="15.75" customHeight="1" x14ac:dyDescent="0.35">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row>
    <row r="524" spans="1:24" ht="15.75" customHeight="1" x14ac:dyDescent="0.35">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row>
    <row r="525" spans="1:24" ht="15.75" customHeight="1" x14ac:dyDescent="0.3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row>
    <row r="526" spans="1:24" ht="15.75" customHeight="1" x14ac:dyDescent="0.35">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row>
    <row r="527" spans="1:24" ht="15.75" customHeight="1" x14ac:dyDescent="0.35">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row>
    <row r="528" spans="1:24" ht="15.75" customHeight="1" x14ac:dyDescent="0.35">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row>
    <row r="529" spans="1:24" ht="15.75" customHeight="1" x14ac:dyDescent="0.35">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row>
    <row r="530" spans="1:24" ht="15.75" customHeight="1" x14ac:dyDescent="0.35">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row>
    <row r="531" spans="1:24" ht="15.75" customHeight="1" x14ac:dyDescent="0.35">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row>
    <row r="532" spans="1:24" ht="15.75" customHeight="1" x14ac:dyDescent="0.35">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row>
    <row r="533" spans="1:24" ht="15.75" customHeight="1" x14ac:dyDescent="0.35">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row>
    <row r="534" spans="1:24" ht="15.75" customHeight="1" x14ac:dyDescent="0.35">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row>
    <row r="535" spans="1:24" ht="15.75" customHeight="1" x14ac:dyDescent="0.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row>
    <row r="536" spans="1:24" ht="15.75" customHeight="1" x14ac:dyDescent="0.35">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row>
    <row r="537" spans="1:24" ht="15.75" customHeight="1" x14ac:dyDescent="0.35">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row>
    <row r="538" spans="1:24" ht="15.75" customHeight="1" x14ac:dyDescent="0.35">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row>
    <row r="539" spans="1:24" ht="15.75" customHeight="1" x14ac:dyDescent="0.35">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row>
    <row r="540" spans="1:24" ht="15.75" customHeight="1" x14ac:dyDescent="0.35">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row>
    <row r="541" spans="1:24" ht="15.75" customHeight="1" x14ac:dyDescent="0.35">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row>
    <row r="542" spans="1:24" ht="15.75" customHeight="1" x14ac:dyDescent="0.35">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row>
    <row r="543" spans="1:24" ht="15.75" customHeight="1" x14ac:dyDescent="0.35">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row>
    <row r="544" spans="1:24" ht="15.75" customHeight="1" x14ac:dyDescent="0.35">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row>
    <row r="545" spans="1:24" ht="15.75" customHeight="1" x14ac:dyDescent="0.3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row>
    <row r="546" spans="1:24" ht="15.75" customHeight="1" x14ac:dyDescent="0.35">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row>
    <row r="547" spans="1:24" ht="15.75" customHeight="1" x14ac:dyDescent="0.35">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row>
    <row r="548" spans="1:24" ht="15.75" customHeight="1" x14ac:dyDescent="0.35">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row>
    <row r="549" spans="1:24" ht="15.75" customHeight="1" x14ac:dyDescent="0.35">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row>
    <row r="550" spans="1:24" ht="15.75" customHeight="1" x14ac:dyDescent="0.35">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row>
    <row r="551" spans="1:24" ht="15.75" customHeight="1" x14ac:dyDescent="0.35">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row>
    <row r="552" spans="1:24" ht="15.75" customHeight="1" x14ac:dyDescent="0.35">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row>
    <row r="553" spans="1:24" ht="15.75" customHeight="1" x14ac:dyDescent="0.35">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row>
    <row r="554" spans="1:24" ht="15.75" customHeight="1" x14ac:dyDescent="0.35">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row>
    <row r="555" spans="1:24" ht="15.75" customHeight="1" x14ac:dyDescent="0.3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row>
    <row r="556" spans="1:24" ht="15.75" customHeight="1" x14ac:dyDescent="0.35">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row>
    <row r="557" spans="1:24" ht="15.75" customHeight="1" x14ac:dyDescent="0.35">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row>
    <row r="558" spans="1:24" ht="15.75" customHeight="1" x14ac:dyDescent="0.35">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row>
    <row r="559" spans="1:24" ht="15.75" customHeight="1" x14ac:dyDescent="0.35">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row>
    <row r="560" spans="1:24" ht="15.75" customHeight="1" x14ac:dyDescent="0.35">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row>
    <row r="561" spans="1:24" ht="15.75" customHeight="1" x14ac:dyDescent="0.35">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row>
    <row r="562" spans="1:24" ht="15.75" customHeight="1" x14ac:dyDescent="0.35">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row>
    <row r="563" spans="1:24" ht="15.75" customHeight="1" x14ac:dyDescent="0.35">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row>
    <row r="564" spans="1:24" ht="15.75" customHeight="1" x14ac:dyDescent="0.35">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row>
    <row r="565" spans="1:24" ht="15.75" customHeight="1" x14ac:dyDescent="0.3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row>
    <row r="566" spans="1:24" ht="15.75" customHeight="1" x14ac:dyDescent="0.35">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row>
    <row r="567" spans="1:24" ht="15.75" customHeight="1" x14ac:dyDescent="0.35">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row>
    <row r="568" spans="1:24" ht="15.75" customHeight="1" x14ac:dyDescent="0.35">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row>
    <row r="569" spans="1:24" ht="15.75" customHeight="1" x14ac:dyDescent="0.35">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row>
    <row r="570" spans="1:24" ht="15.75" customHeight="1" x14ac:dyDescent="0.35">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row>
    <row r="571" spans="1:24" ht="15.75" customHeight="1" x14ac:dyDescent="0.35">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row>
    <row r="572" spans="1:24" ht="15.75" customHeight="1" x14ac:dyDescent="0.35">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row>
    <row r="573" spans="1:24" ht="15.75" customHeight="1" x14ac:dyDescent="0.35">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row>
    <row r="574" spans="1:24" ht="15.75" customHeight="1" x14ac:dyDescent="0.35">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row>
    <row r="575" spans="1:24" ht="15.75" customHeight="1" x14ac:dyDescent="0.3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row>
    <row r="576" spans="1:24" ht="15.75" customHeight="1" x14ac:dyDescent="0.35">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row>
    <row r="577" spans="1:24" ht="15.75" customHeight="1" x14ac:dyDescent="0.35">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row>
    <row r="578" spans="1:24" ht="15.75" customHeight="1" x14ac:dyDescent="0.35">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row>
    <row r="579" spans="1:24" ht="15.75" customHeight="1" x14ac:dyDescent="0.35">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row>
    <row r="580" spans="1:24" ht="15.75" customHeight="1" x14ac:dyDescent="0.35">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row>
    <row r="581" spans="1:24" ht="15.75" customHeight="1" x14ac:dyDescent="0.35">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row>
    <row r="582" spans="1:24" ht="15.75" customHeight="1" x14ac:dyDescent="0.35">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row>
    <row r="583" spans="1:24" ht="15.75" customHeight="1" x14ac:dyDescent="0.35">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row>
    <row r="584" spans="1:24" ht="15.75" customHeight="1" x14ac:dyDescent="0.35">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row>
    <row r="585" spans="1:24" ht="15.75" customHeight="1" x14ac:dyDescent="0.3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row>
    <row r="586" spans="1:24" ht="15.75" customHeight="1" x14ac:dyDescent="0.35">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row>
    <row r="587" spans="1:24" ht="15.75" customHeight="1" x14ac:dyDescent="0.35">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row>
    <row r="588" spans="1:24" ht="15.75" customHeight="1" x14ac:dyDescent="0.35">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row>
    <row r="589" spans="1:24" ht="15.75" customHeight="1" x14ac:dyDescent="0.35">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row>
    <row r="590" spans="1:24" ht="15.75" customHeight="1" x14ac:dyDescent="0.35">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row>
    <row r="591" spans="1:24" ht="15.75" customHeight="1" x14ac:dyDescent="0.35">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row>
    <row r="592" spans="1:24" ht="15.75" customHeight="1" x14ac:dyDescent="0.35">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row>
    <row r="593" spans="1:24" ht="15.75" customHeight="1" x14ac:dyDescent="0.35">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row>
    <row r="594" spans="1:24" ht="15.75" customHeight="1" x14ac:dyDescent="0.35">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row>
    <row r="595" spans="1:24" ht="15.75" customHeight="1" x14ac:dyDescent="0.3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row>
    <row r="596" spans="1:24" ht="15.75" customHeight="1" x14ac:dyDescent="0.35">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row>
    <row r="597" spans="1:24" ht="15.75" customHeight="1" x14ac:dyDescent="0.35">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row>
    <row r="598" spans="1:24" ht="15.75" customHeight="1" x14ac:dyDescent="0.35">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row>
    <row r="599" spans="1:24" ht="15.75" customHeight="1" x14ac:dyDescent="0.35">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row>
    <row r="600" spans="1:24" ht="15.75" customHeight="1" x14ac:dyDescent="0.35">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row>
    <row r="601" spans="1:24" ht="15.75" customHeight="1" x14ac:dyDescent="0.35">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row>
    <row r="602" spans="1:24" ht="15.75" customHeight="1" x14ac:dyDescent="0.35">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row>
    <row r="603" spans="1:24" ht="15.75" customHeight="1" x14ac:dyDescent="0.35">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row>
    <row r="604" spans="1:24" ht="15.75" customHeight="1" x14ac:dyDescent="0.35">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row>
    <row r="605" spans="1:24" ht="15.75" customHeight="1" x14ac:dyDescent="0.3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row>
    <row r="606" spans="1:24" ht="15.75" customHeight="1" x14ac:dyDescent="0.35">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row>
    <row r="607" spans="1:24" ht="15.75" customHeight="1" x14ac:dyDescent="0.35">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row>
    <row r="608" spans="1:24" ht="15.75" customHeight="1" x14ac:dyDescent="0.35">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row>
    <row r="609" spans="1:24" ht="15.75" customHeight="1" x14ac:dyDescent="0.35">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row>
    <row r="610" spans="1:24" ht="15.75" customHeight="1" x14ac:dyDescent="0.35">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row>
    <row r="611" spans="1:24" ht="15.75" customHeight="1" x14ac:dyDescent="0.35">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row>
    <row r="612" spans="1:24" ht="15.75" customHeight="1" x14ac:dyDescent="0.35">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row>
    <row r="613" spans="1:24" ht="15.75" customHeight="1" x14ac:dyDescent="0.35">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row>
    <row r="614" spans="1:24" ht="15.75" customHeight="1" x14ac:dyDescent="0.35">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row>
    <row r="615" spans="1:24" ht="15.75" customHeight="1" x14ac:dyDescent="0.3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row>
    <row r="616" spans="1:24" ht="15.75" customHeight="1" x14ac:dyDescent="0.35">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row>
    <row r="617" spans="1:24" ht="15.75" customHeight="1" x14ac:dyDescent="0.35">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row>
    <row r="618" spans="1:24" ht="15.75" customHeight="1" x14ac:dyDescent="0.35">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row>
    <row r="619" spans="1:24" ht="15.75" customHeight="1" x14ac:dyDescent="0.35">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row>
    <row r="620" spans="1:24" ht="15.75" customHeight="1" x14ac:dyDescent="0.35">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row>
    <row r="621" spans="1:24" ht="15.75" customHeight="1" x14ac:dyDescent="0.35">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row>
    <row r="622" spans="1:24" ht="15.75" customHeight="1" x14ac:dyDescent="0.35">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row>
    <row r="623" spans="1:24" ht="15.75" customHeight="1" x14ac:dyDescent="0.35">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row>
    <row r="624" spans="1:24" ht="15.75" customHeight="1" x14ac:dyDescent="0.35">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row>
    <row r="625" spans="1:24" ht="15.75" customHeight="1" x14ac:dyDescent="0.3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row>
    <row r="626" spans="1:24" ht="15.75" customHeight="1" x14ac:dyDescent="0.35">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row>
    <row r="627" spans="1:24" ht="15.75" customHeight="1" x14ac:dyDescent="0.35">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row>
    <row r="628" spans="1:24" ht="15.75" customHeight="1" x14ac:dyDescent="0.35">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row>
    <row r="629" spans="1:24" ht="15.75" customHeight="1" x14ac:dyDescent="0.35">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row>
    <row r="630" spans="1:24" ht="15.75" customHeight="1" x14ac:dyDescent="0.35">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row>
    <row r="631" spans="1:24" ht="15.75" customHeight="1" x14ac:dyDescent="0.35">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row>
    <row r="632" spans="1:24" ht="15.75" customHeight="1" x14ac:dyDescent="0.35">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row>
    <row r="633" spans="1:24" ht="15.75" customHeight="1" x14ac:dyDescent="0.35">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row>
    <row r="634" spans="1:24" ht="15.75" customHeight="1" x14ac:dyDescent="0.35">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row>
    <row r="635" spans="1:24" ht="15.75" customHeight="1" x14ac:dyDescent="0.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row>
    <row r="636" spans="1:24" ht="15.75" customHeight="1" x14ac:dyDescent="0.35">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row>
    <row r="637" spans="1:24" ht="15.75" customHeight="1" x14ac:dyDescent="0.35">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row>
    <row r="638" spans="1:24" ht="15.75" customHeight="1" x14ac:dyDescent="0.35">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row>
    <row r="639" spans="1:24" ht="15.75" customHeight="1" x14ac:dyDescent="0.35">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row>
    <row r="640" spans="1:24" ht="15.75" customHeight="1" x14ac:dyDescent="0.35">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row>
    <row r="641" spans="1:24" ht="15.75" customHeight="1" x14ac:dyDescent="0.35">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row>
    <row r="642" spans="1:24" ht="15.75" customHeight="1" x14ac:dyDescent="0.35">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row>
    <row r="643" spans="1:24" ht="15.75" customHeight="1" x14ac:dyDescent="0.35">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row>
    <row r="644" spans="1:24" ht="15.75" customHeight="1" x14ac:dyDescent="0.35">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row>
    <row r="645" spans="1:24" ht="15.75" customHeight="1" x14ac:dyDescent="0.3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row>
    <row r="646" spans="1:24" ht="15.75" customHeight="1" x14ac:dyDescent="0.35">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row>
    <row r="647" spans="1:24" ht="15.75" customHeight="1" x14ac:dyDescent="0.35">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row>
    <row r="648" spans="1:24" ht="15.75" customHeight="1" x14ac:dyDescent="0.35">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row>
    <row r="649" spans="1:24" ht="15.75" customHeight="1" x14ac:dyDescent="0.35">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row>
    <row r="650" spans="1:24" ht="15.75" customHeight="1" x14ac:dyDescent="0.35">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row>
    <row r="651" spans="1:24" ht="15.75" customHeight="1" x14ac:dyDescent="0.35">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row>
    <row r="652" spans="1:24" ht="15.75" customHeight="1" x14ac:dyDescent="0.35">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row>
    <row r="653" spans="1:24" ht="15.75" customHeight="1" x14ac:dyDescent="0.35">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row>
    <row r="654" spans="1:24" ht="15.75" customHeight="1" x14ac:dyDescent="0.35">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row>
    <row r="655" spans="1:24" ht="15.75" customHeight="1" x14ac:dyDescent="0.3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row>
    <row r="656" spans="1:24" ht="15.75" customHeight="1" x14ac:dyDescent="0.35">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row>
    <row r="657" spans="1:24" ht="15.75" customHeight="1" x14ac:dyDescent="0.35">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row>
    <row r="658" spans="1:24" ht="15.75" customHeight="1" x14ac:dyDescent="0.35">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row>
    <row r="659" spans="1:24" ht="15.75" customHeight="1" x14ac:dyDescent="0.35">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row>
    <row r="660" spans="1:24" ht="15.75" customHeight="1" x14ac:dyDescent="0.35">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row>
    <row r="661" spans="1:24" ht="15.75" customHeight="1" x14ac:dyDescent="0.35">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row>
    <row r="662" spans="1:24" ht="15.75" customHeight="1" x14ac:dyDescent="0.35">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row>
    <row r="663" spans="1:24" ht="15.75" customHeight="1" x14ac:dyDescent="0.35">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row>
    <row r="664" spans="1:24" ht="15.75" customHeight="1" x14ac:dyDescent="0.35">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row>
    <row r="665" spans="1:24" ht="15.75" customHeight="1" x14ac:dyDescent="0.3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row>
    <row r="666" spans="1:24" ht="15.75" customHeight="1" x14ac:dyDescent="0.35">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row>
    <row r="667" spans="1:24" ht="15.75" customHeight="1" x14ac:dyDescent="0.35">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row>
    <row r="668" spans="1:24" ht="15.75" customHeight="1" x14ac:dyDescent="0.35">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row>
    <row r="669" spans="1:24" ht="15.75" customHeight="1" x14ac:dyDescent="0.35">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row>
    <row r="670" spans="1:24" ht="15.75" customHeight="1" x14ac:dyDescent="0.35">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row>
    <row r="671" spans="1:24" ht="15.75" customHeight="1" x14ac:dyDescent="0.35">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row>
    <row r="672" spans="1:24" ht="15.75" customHeight="1" x14ac:dyDescent="0.35">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row>
    <row r="673" spans="1:24" ht="15.75" customHeight="1" x14ac:dyDescent="0.35">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row>
    <row r="674" spans="1:24" ht="15.75" customHeight="1" x14ac:dyDescent="0.35">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row>
    <row r="675" spans="1:24" ht="15.75" customHeight="1" x14ac:dyDescent="0.3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row>
    <row r="676" spans="1:24" ht="15.75" customHeight="1" x14ac:dyDescent="0.35">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row>
    <row r="677" spans="1:24" ht="15.75" customHeight="1" x14ac:dyDescent="0.35">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row>
    <row r="678" spans="1:24" ht="15.75" customHeight="1" x14ac:dyDescent="0.35">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row>
    <row r="679" spans="1:24" ht="15.75" customHeight="1" x14ac:dyDescent="0.35">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row>
    <row r="680" spans="1:24" ht="15.75" customHeight="1" x14ac:dyDescent="0.35">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row>
    <row r="681" spans="1:24" ht="15.75" customHeight="1" x14ac:dyDescent="0.35">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row>
    <row r="682" spans="1:24" ht="15.75" customHeight="1" x14ac:dyDescent="0.35">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row>
    <row r="683" spans="1:24" ht="15.75" customHeight="1" x14ac:dyDescent="0.35">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row>
    <row r="684" spans="1:24" ht="15.75" customHeight="1" x14ac:dyDescent="0.35">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row>
    <row r="685" spans="1:24" ht="15.75" customHeight="1" x14ac:dyDescent="0.3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row>
    <row r="686" spans="1:24" ht="15.75" customHeight="1" x14ac:dyDescent="0.35">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row>
    <row r="687" spans="1:24" ht="15.75" customHeight="1" x14ac:dyDescent="0.35">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row>
    <row r="688" spans="1:24" ht="15.75" customHeight="1" x14ac:dyDescent="0.35">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row>
    <row r="689" spans="1:24" ht="15.75" customHeight="1" x14ac:dyDescent="0.35">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row>
    <row r="690" spans="1:24" ht="15.75" customHeight="1" x14ac:dyDescent="0.35">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row>
    <row r="691" spans="1:24" ht="15.75" customHeight="1" x14ac:dyDescent="0.35">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row>
    <row r="692" spans="1:24" ht="15.75" customHeight="1" x14ac:dyDescent="0.35">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row>
    <row r="693" spans="1:24" ht="15.75" customHeight="1" x14ac:dyDescent="0.35">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row>
    <row r="694" spans="1:24" ht="15.75" customHeight="1" x14ac:dyDescent="0.35">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row>
    <row r="695" spans="1:24" ht="15.75" customHeight="1" x14ac:dyDescent="0.3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row>
    <row r="696" spans="1:24" ht="15.75" customHeight="1" x14ac:dyDescent="0.35">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row>
    <row r="697" spans="1:24" ht="15.75" customHeight="1" x14ac:dyDescent="0.35">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row>
    <row r="698" spans="1:24" ht="15.75" customHeight="1" x14ac:dyDescent="0.35">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row>
    <row r="699" spans="1:24" ht="15.75" customHeight="1" x14ac:dyDescent="0.35">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row>
    <row r="700" spans="1:24" ht="15.75" customHeight="1" x14ac:dyDescent="0.35">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row>
    <row r="701" spans="1:24" ht="15.75" customHeight="1" x14ac:dyDescent="0.35">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row>
    <row r="702" spans="1:24" ht="15.75" customHeight="1" x14ac:dyDescent="0.35">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row>
    <row r="703" spans="1:24" ht="15.75" customHeight="1" x14ac:dyDescent="0.35">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row>
    <row r="704" spans="1:24" ht="15.75" customHeight="1" x14ac:dyDescent="0.35">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row>
    <row r="705" spans="1:24" ht="15.75" customHeight="1" x14ac:dyDescent="0.3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row>
    <row r="706" spans="1:24" ht="15.75" customHeight="1" x14ac:dyDescent="0.35">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row>
    <row r="707" spans="1:24" ht="15.75" customHeight="1" x14ac:dyDescent="0.35">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row>
    <row r="708" spans="1:24" ht="15.75" customHeight="1" x14ac:dyDescent="0.35">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row>
    <row r="709" spans="1:24" ht="15.75" customHeight="1" x14ac:dyDescent="0.35">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row>
    <row r="710" spans="1:24" ht="15.75" customHeight="1" x14ac:dyDescent="0.35">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row>
    <row r="711" spans="1:24" ht="15.75" customHeight="1" x14ac:dyDescent="0.35">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row>
    <row r="712" spans="1:24" ht="15.75" customHeight="1" x14ac:dyDescent="0.35">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row>
    <row r="713" spans="1:24" ht="15.75" customHeight="1" x14ac:dyDescent="0.35">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row>
    <row r="714" spans="1:24" ht="15.75" customHeight="1" x14ac:dyDescent="0.35">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row>
    <row r="715" spans="1:24" ht="15.75" customHeight="1" x14ac:dyDescent="0.3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row>
    <row r="716" spans="1:24" ht="15.75" customHeight="1" x14ac:dyDescent="0.35">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row>
    <row r="717" spans="1:24" ht="15.75" customHeight="1" x14ac:dyDescent="0.35">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row>
    <row r="718" spans="1:24" ht="15.75" customHeight="1" x14ac:dyDescent="0.35">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row>
    <row r="719" spans="1:24" ht="15.75" customHeight="1" x14ac:dyDescent="0.35">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row>
    <row r="720" spans="1:24" ht="15.75" customHeight="1" x14ac:dyDescent="0.35">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row>
    <row r="721" spans="1:24" ht="15.75" customHeight="1" x14ac:dyDescent="0.35">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row>
    <row r="722" spans="1:24" ht="15.75" customHeight="1" x14ac:dyDescent="0.35">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row>
    <row r="723" spans="1:24" ht="15.75" customHeight="1" x14ac:dyDescent="0.35">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row>
    <row r="724" spans="1:24" ht="15.75" customHeight="1" x14ac:dyDescent="0.35">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row>
    <row r="725" spans="1:24" ht="15.75" customHeight="1" x14ac:dyDescent="0.3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row>
    <row r="726" spans="1:24" ht="15.75" customHeight="1" x14ac:dyDescent="0.35">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row>
    <row r="727" spans="1:24" ht="15.75" customHeight="1" x14ac:dyDescent="0.35">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row>
    <row r="728" spans="1:24" ht="15.75" customHeight="1" x14ac:dyDescent="0.35">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row>
    <row r="729" spans="1:24" ht="15.75" customHeight="1" x14ac:dyDescent="0.35">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row>
    <row r="730" spans="1:24" ht="15.75" customHeight="1" x14ac:dyDescent="0.35">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row>
    <row r="731" spans="1:24" ht="15.75" customHeight="1" x14ac:dyDescent="0.35">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row>
    <row r="732" spans="1:24" ht="15.75" customHeight="1" x14ac:dyDescent="0.35">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row>
    <row r="733" spans="1:24" ht="15.75" customHeight="1" x14ac:dyDescent="0.35">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row>
    <row r="734" spans="1:24" ht="15.75" customHeight="1" x14ac:dyDescent="0.35">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row>
    <row r="735" spans="1:24" ht="15.75" customHeight="1" x14ac:dyDescent="0.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row>
    <row r="736" spans="1:24" ht="15.75" customHeight="1" x14ac:dyDescent="0.35">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row>
    <row r="737" spans="1:24" ht="15.75" customHeight="1" x14ac:dyDescent="0.35">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row>
    <row r="738" spans="1:24" ht="15.75" customHeight="1" x14ac:dyDescent="0.35">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row>
    <row r="739" spans="1:24" ht="15.75" customHeight="1" x14ac:dyDescent="0.35">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row>
    <row r="740" spans="1:24" ht="15.75" customHeight="1" x14ac:dyDescent="0.35">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row>
    <row r="741" spans="1:24" ht="15.75" customHeight="1" x14ac:dyDescent="0.35">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row>
    <row r="742" spans="1:24" ht="15.75" customHeight="1" x14ac:dyDescent="0.35">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row>
    <row r="743" spans="1:24" ht="15.75" customHeight="1" x14ac:dyDescent="0.35">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row>
    <row r="744" spans="1:24" ht="15.75" customHeight="1" x14ac:dyDescent="0.35">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row>
    <row r="745" spans="1:24" ht="15.75" customHeight="1" x14ac:dyDescent="0.3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row>
    <row r="746" spans="1:24" ht="15.75" customHeight="1" x14ac:dyDescent="0.35">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row>
    <row r="747" spans="1:24" ht="15.75" customHeight="1" x14ac:dyDescent="0.35">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row>
    <row r="748" spans="1:24" ht="15.75" customHeight="1" x14ac:dyDescent="0.35">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row>
    <row r="749" spans="1:24" ht="15.75" customHeight="1" x14ac:dyDescent="0.35">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row>
    <row r="750" spans="1:24" ht="15.75" customHeight="1" x14ac:dyDescent="0.35">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row>
    <row r="751" spans="1:24" ht="15.75" customHeight="1" x14ac:dyDescent="0.35">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row>
    <row r="752" spans="1:24" ht="15.75" customHeight="1" x14ac:dyDescent="0.35">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row>
    <row r="753" spans="1:24" ht="15.75" customHeight="1" x14ac:dyDescent="0.35">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row>
    <row r="754" spans="1:24" ht="15.75" customHeight="1" x14ac:dyDescent="0.35">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row>
    <row r="755" spans="1:24" ht="15.75" customHeight="1" x14ac:dyDescent="0.3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row>
    <row r="756" spans="1:24" ht="15.75" customHeight="1" x14ac:dyDescent="0.35">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row>
    <row r="757" spans="1:24" ht="15.75" customHeight="1" x14ac:dyDescent="0.35">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row>
    <row r="758" spans="1:24" ht="15.75" customHeight="1" x14ac:dyDescent="0.35">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row>
    <row r="759" spans="1:24" ht="15.75" customHeight="1" x14ac:dyDescent="0.35">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row>
    <row r="760" spans="1:24" ht="15.75" customHeight="1" x14ac:dyDescent="0.35">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row>
    <row r="761" spans="1:24" ht="15.75" customHeight="1" x14ac:dyDescent="0.35">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row>
    <row r="762" spans="1:24" ht="15.75" customHeight="1" x14ac:dyDescent="0.35">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row>
    <row r="763" spans="1:24" ht="15.75" customHeight="1" x14ac:dyDescent="0.35">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row>
    <row r="764" spans="1:24" ht="15.75" customHeight="1" x14ac:dyDescent="0.35">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row>
    <row r="765" spans="1:24" ht="15.75" customHeight="1" x14ac:dyDescent="0.3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row>
    <row r="766" spans="1:24" ht="15.75" customHeight="1" x14ac:dyDescent="0.35">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row>
    <row r="767" spans="1:24" ht="15.75" customHeight="1" x14ac:dyDescent="0.35">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row>
    <row r="768" spans="1:24" ht="15.75" customHeight="1" x14ac:dyDescent="0.35">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row>
    <row r="769" spans="1:24" ht="15.75" customHeight="1" x14ac:dyDescent="0.35">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row>
    <row r="770" spans="1:24" ht="15.75" customHeight="1" x14ac:dyDescent="0.35">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row>
    <row r="771" spans="1:24" ht="15.75" customHeight="1" x14ac:dyDescent="0.35">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row>
    <row r="772" spans="1:24" ht="15.75" customHeight="1" x14ac:dyDescent="0.35">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row>
    <row r="773" spans="1:24" ht="15.75" customHeight="1" x14ac:dyDescent="0.35">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row>
    <row r="774" spans="1:24" ht="15.75" customHeight="1" x14ac:dyDescent="0.35">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row>
    <row r="775" spans="1:24" ht="15.75" customHeight="1" x14ac:dyDescent="0.3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row>
    <row r="776" spans="1:24" ht="15.75" customHeight="1" x14ac:dyDescent="0.35">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row>
    <row r="777" spans="1:24" ht="15.75" customHeight="1" x14ac:dyDescent="0.35">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row>
    <row r="778" spans="1:24" ht="15.75" customHeight="1" x14ac:dyDescent="0.35">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row>
    <row r="779" spans="1:24" ht="15.75" customHeight="1" x14ac:dyDescent="0.35">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row>
    <row r="780" spans="1:24" ht="15.75" customHeight="1" x14ac:dyDescent="0.35">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row>
    <row r="781" spans="1:24" ht="15.75" customHeight="1" x14ac:dyDescent="0.35">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row>
    <row r="782" spans="1:24" ht="15.75" customHeight="1" x14ac:dyDescent="0.35">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row>
    <row r="783" spans="1:24" ht="15.75" customHeight="1" x14ac:dyDescent="0.35">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row>
    <row r="784" spans="1:24" ht="15.75" customHeight="1" x14ac:dyDescent="0.35">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row>
    <row r="785" spans="1:24" ht="15.75" customHeight="1" x14ac:dyDescent="0.3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row>
    <row r="786" spans="1:24" ht="15.75" customHeight="1" x14ac:dyDescent="0.35">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row>
    <row r="787" spans="1:24" ht="15.75" customHeight="1" x14ac:dyDescent="0.35">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row>
    <row r="788" spans="1:24" ht="15.75" customHeight="1" x14ac:dyDescent="0.35">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row>
    <row r="789" spans="1:24" ht="15.75" customHeight="1" x14ac:dyDescent="0.35">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row>
    <row r="790" spans="1:24" ht="15.75" customHeight="1" x14ac:dyDescent="0.35">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row>
    <row r="791" spans="1:24" ht="15.75" customHeight="1" x14ac:dyDescent="0.35">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row>
    <row r="792" spans="1:24" ht="15.75" customHeight="1" x14ac:dyDescent="0.35">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row>
    <row r="793" spans="1:24" ht="15.75" customHeight="1" x14ac:dyDescent="0.35">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row>
    <row r="794" spans="1:24" ht="15.75" customHeight="1" x14ac:dyDescent="0.35">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row>
    <row r="795" spans="1:24" ht="15.75" customHeight="1" x14ac:dyDescent="0.3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row>
    <row r="796" spans="1:24" ht="15.75" customHeight="1" x14ac:dyDescent="0.35">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row>
    <row r="797" spans="1:24" ht="15.75" customHeight="1" x14ac:dyDescent="0.35">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row>
    <row r="798" spans="1:24" ht="15.75" customHeight="1" x14ac:dyDescent="0.35">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row>
    <row r="799" spans="1:24" ht="15.75" customHeight="1" x14ac:dyDescent="0.35">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row>
    <row r="800" spans="1:24" ht="15.75" customHeight="1" x14ac:dyDescent="0.35">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row>
    <row r="801" spans="1:24" ht="15.75" customHeight="1" x14ac:dyDescent="0.35">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row>
    <row r="802" spans="1:24" ht="15.75" customHeight="1" x14ac:dyDescent="0.35">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row>
    <row r="803" spans="1:24" ht="15.75" customHeight="1" x14ac:dyDescent="0.35">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row>
    <row r="804" spans="1:24" ht="15.75" customHeight="1" x14ac:dyDescent="0.35">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row>
    <row r="805" spans="1:24" ht="15.75" customHeight="1" x14ac:dyDescent="0.3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row>
    <row r="806" spans="1:24" ht="15.75" customHeight="1" x14ac:dyDescent="0.35">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row>
    <row r="807" spans="1:24" ht="15.75" customHeight="1" x14ac:dyDescent="0.35">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row>
    <row r="808" spans="1:24" ht="15.75" customHeight="1" x14ac:dyDescent="0.35">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row>
    <row r="809" spans="1:24" ht="15.75" customHeight="1" x14ac:dyDescent="0.35">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row>
    <row r="810" spans="1:24" ht="15.75" customHeight="1" x14ac:dyDescent="0.35">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row>
    <row r="811" spans="1:24" ht="15.75" customHeight="1" x14ac:dyDescent="0.35">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row>
    <row r="812" spans="1:24" ht="15.75" customHeight="1" x14ac:dyDescent="0.35">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row>
    <row r="813" spans="1:24" ht="15.75" customHeight="1" x14ac:dyDescent="0.35">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row>
    <row r="814" spans="1:24" ht="15.75" customHeight="1" x14ac:dyDescent="0.35">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row>
    <row r="815" spans="1:24" ht="15.75" customHeight="1" x14ac:dyDescent="0.3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row>
    <row r="816" spans="1:24" ht="15.75" customHeight="1" x14ac:dyDescent="0.35">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row>
    <row r="817" spans="1:24" ht="15.75" customHeight="1" x14ac:dyDescent="0.35">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row>
    <row r="818" spans="1:24" ht="15.75" customHeight="1" x14ac:dyDescent="0.35">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row>
    <row r="819" spans="1:24" ht="15.75" customHeight="1" x14ac:dyDescent="0.35">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row>
    <row r="820" spans="1:24" ht="15.75" customHeight="1" x14ac:dyDescent="0.35">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row>
    <row r="821" spans="1:24" ht="15.75" customHeight="1" x14ac:dyDescent="0.35">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row>
    <row r="822" spans="1:24" ht="15.75" customHeight="1" x14ac:dyDescent="0.35">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row>
    <row r="823" spans="1:24" ht="15.75" customHeight="1" x14ac:dyDescent="0.35">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row>
    <row r="824" spans="1:24" ht="15.75" customHeight="1" x14ac:dyDescent="0.35">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row>
    <row r="825" spans="1:24" ht="15.75" customHeight="1" x14ac:dyDescent="0.3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row>
    <row r="826" spans="1:24" ht="15.75" customHeight="1" x14ac:dyDescent="0.35">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row>
    <row r="827" spans="1:24" ht="15.75" customHeight="1" x14ac:dyDescent="0.35">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row>
    <row r="828" spans="1:24" ht="15.75" customHeight="1" x14ac:dyDescent="0.35">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row>
    <row r="829" spans="1:24" ht="15.75" customHeight="1" x14ac:dyDescent="0.35">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row>
    <row r="830" spans="1:24" ht="15.75" customHeight="1" x14ac:dyDescent="0.35">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row>
    <row r="831" spans="1:24" ht="15.75" customHeight="1" x14ac:dyDescent="0.35">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row>
    <row r="832" spans="1:24" ht="15.75" customHeight="1" x14ac:dyDescent="0.35">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row>
    <row r="833" spans="1:24" ht="15.75" customHeight="1" x14ac:dyDescent="0.35">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row>
    <row r="834" spans="1:24" ht="15.75" customHeight="1" x14ac:dyDescent="0.35">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row>
    <row r="835" spans="1:24" ht="15.75" customHeight="1" x14ac:dyDescent="0.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row>
    <row r="836" spans="1:24" ht="15.75" customHeight="1" x14ac:dyDescent="0.35">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row>
    <row r="837" spans="1:24" ht="15.75" customHeight="1" x14ac:dyDescent="0.35">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row>
    <row r="838" spans="1:24" ht="15.75" customHeight="1" x14ac:dyDescent="0.35">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row>
    <row r="839" spans="1:24" ht="15.75" customHeight="1" x14ac:dyDescent="0.35">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row>
    <row r="840" spans="1:24" ht="15.75" customHeight="1" x14ac:dyDescent="0.35">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row>
    <row r="841" spans="1:24" ht="15.75" customHeight="1" x14ac:dyDescent="0.35">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row>
    <row r="842" spans="1:24" ht="15.75" customHeight="1" x14ac:dyDescent="0.35">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row>
    <row r="843" spans="1:24" ht="15.75" customHeight="1" x14ac:dyDescent="0.35">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row>
    <row r="844" spans="1:24" ht="15.75" customHeight="1" x14ac:dyDescent="0.35">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row>
    <row r="845" spans="1:24" ht="15.75" customHeight="1" x14ac:dyDescent="0.3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row>
    <row r="846" spans="1:24" ht="15.75" customHeight="1" x14ac:dyDescent="0.35">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row>
    <row r="847" spans="1:24" ht="15.75" customHeight="1" x14ac:dyDescent="0.35">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row>
    <row r="848" spans="1:24" ht="15.75" customHeight="1" x14ac:dyDescent="0.35">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row>
    <row r="849" spans="1:24" ht="15.75" customHeight="1" x14ac:dyDescent="0.35">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row>
    <row r="850" spans="1:24" ht="15.75" customHeight="1" x14ac:dyDescent="0.35">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row>
    <row r="851" spans="1:24" ht="15.75" customHeight="1" x14ac:dyDescent="0.35">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row>
    <row r="852" spans="1:24" ht="15.75" customHeight="1" x14ac:dyDescent="0.35">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row>
    <row r="853" spans="1:24" ht="15.75" customHeight="1" x14ac:dyDescent="0.35">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row>
    <row r="854" spans="1:24" ht="15.75" customHeight="1" x14ac:dyDescent="0.35">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row>
    <row r="855" spans="1:24" ht="15.75" customHeight="1" x14ac:dyDescent="0.3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row>
    <row r="856" spans="1:24" ht="15.75" customHeight="1" x14ac:dyDescent="0.35">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row>
    <row r="857" spans="1:24" ht="15.75" customHeight="1" x14ac:dyDescent="0.35">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row>
    <row r="858" spans="1:24" ht="15.75" customHeight="1" x14ac:dyDescent="0.35">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row>
    <row r="859" spans="1:24" ht="15.75" customHeight="1" x14ac:dyDescent="0.35">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row>
    <row r="860" spans="1:24" ht="15.75" customHeight="1" x14ac:dyDescent="0.35">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row>
    <row r="861" spans="1:24" ht="15.75" customHeight="1" x14ac:dyDescent="0.35">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row>
    <row r="862" spans="1:24" ht="15.75" customHeight="1" x14ac:dyDescent="0.35">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row>
    <row r="863" spans="1:24" ht="15.75" customHeight="1" x14ac:dyDescent="0.35">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row>
    <row r="864" spans="1:24" ht="15.75" customHeight="1" x14ac:dyDescent="0.35">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row>
    <row r="865" spans="1:24" ht="15.75" customHeight="1" x14ac:dyDescent="0.3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row>
    <row r="866" spans="1:24" ht="15.75" customHeight="1" x14ac:dyDescent="0.35">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row>
    <row r="867" spans="1:24" ht="15.75" customHeight="1" x14ac:dyDescent="0.35">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row>
    <row r="868" spans="1:24" ht="15.75" customHeight="1" x14ac:dyDescent="0.35">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row>
    <row r="869" spans="1:24" ht="15.75" customHeight="1" x14ac:dyDescent="0.35">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row>
    <row r="870" spans="1:24" ht="15.75" customHeight="1" x14ac:dyDescent="0.35">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row>
    <row r="871" spans="1:24" ht="15.75" customHeight="1" x14ac:dyDescent="0.35">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row>
    <row r="872" spans="1:24" ht="15.75" customHeight="1" x14ac:dyDescent="0.35">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row>
    <row r="873" spans="1:24" ht="15.75" customHeight="1" x14ac:dyDescent="0.35">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row>
    <row r="874" spans="1:24" ht="15.75" customHeight="1" x14ac:dyDescent="0.35">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row>
    <row r="875" spans="1:24" ht="15.75" customHeight="1" x14ac:dyDescent="0.3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row>
    <row r="876" spans="1:24" ht="15.75" customHeight="1" x14ac:dyDescent="0.35">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row>
    <row r="877" spans="1:24" ht="15.75" customHeight="1" x14ac:dyDescent="0.35">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row>
    <row r="878" spans="1:24" ht="15.75" customHeight="1" x14ac:dyDescent="0.35">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row>
    <row r="879" spans="1:24" ht="15.75" customHeight="1" x14ac:dyDescent="0.35">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row>
    <row r="880" spans="1:24" ht="15.75" customHeight="1" x14ac:dyDescent="0.35">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row>
    <row r="881" spans="1:24" ht="15.75" customHeight="1" x14ac:dyDescent="0.35">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row>
    <row r="882" spans="1:24" ht="15.75" customHeight="1" x14ac:dyDescent="0.35">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row>
    <row r="883" spans="1:24" ht="15.75" customHeight="1" x14ac:dyDescent="0.35">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row>
    <row r="884" spans="1:24" ht="15.75" customHeight="1" x14ac:dyDescent="0.35">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row>
    <row r="885" spans="1:24" ht="15.75" customHeight="1" x14ac:dyDescent="0.3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row>
    <row r="886" spans="1:24" ht="15.75" customHeight="1" x14ac:dyDescent="0.35">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row>
    <row r="887" spans="1:24" ht="15.75" customHeight="1" x14ac:dyDescent="0.35">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row>
    <row r="888" spans="1:24" ht="15.75" customHeight="1" x14ac:dyDescent="0.35">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row>
    <row r="889" spans="1:24" ht="15.75" customHeight="1" x14ac:dyDescent="0.35">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row>
    <row r="890" spans="1:24" ht="15.75" customHeight="1" x14ac:dyDescent="0.35">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row>
    <row r="891" spans="1:24" ht="15.75" customHeight="1" x14ac:dyDescent="0.35">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row>
    <row r="892" spans="1:24" ht="15.75" customHeight="1" x14ac:dyDescent="0.35">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row>
    <row r="893" spans="1:24" ht="15.75" customHeight="1" x14ac:dyDescent="0.35">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row>
    <row r="894" spans="1:24" ht="15.75" customHeight="1" x14ac:dyDescent="0.35">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row>
    <row r="895" spans="1:24" ht="15.75" customHeight="1" x14ac:dyDescent="0.3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row>
    <row r="896" spans="1:24" ht="15.75" customHeight="1" x14ac:dyDescent="0.35">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row>
    <row r="897" spans="1:24" ht="15.75" customHeight="1" x14ac:dyDescent="0.35">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row>
    <row r="898" spans="1:24" ht="15.75" customHeight="1" x14ac:dyDescent="0.35">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row>
    <row r="899" spans="1:24" ht="15.75" customHeight="1" x14ac:dyDescent="0.35">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row>
    <row r="900" spans="1:24" ht="15.75" customHeight="1" x14ac:dyDescent="0.35">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row>
    <row r="901" spans="1:24" ht="15.75" customHeight="1" x14ac:dyDescent="0.35">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row>
    <row r="902" spans="1:24" ht="15.75" customHeight="1" x14ac:dyDescent="0.35">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row>
    <row r="903" spans="1:24" ht="15.75" customHeight="1" x14ac:dyDescent="0.35">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row>
    <row r="904" spans="1:24" ht="15.75" customHeight="1" x14ac:dyDescent="0.35">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row>
    <row r="905" spans="1:24" ht="15.75" customHeight="1" x14ac:dyDescent="0.3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row>
    <row r="906" spans="1:24" ht="15.75" customHeight="1" x14ac:dyDescent="0.35">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row>
    <row r="907" spans="1:24" ht="15.75" customHeight="1" x14ac:dyDescent="0.35">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row>
    <row r="908" spans="1:24" ht="15.75" customHeight="1" x14ac:dyDescent="0.35">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row>
    <row r="909" spans="1:24" ht="15.75" customHeight="1" x14ac:dyDescent="0.35">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row>
    <row r="910" spans="1:24" ht="15.75" customHeight="1" x14ac:dyDescent="0.35">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row>
    <row r="911" spans="1:24" ht="15.75" customHeight="1" x14ac:dyDescent="0.35">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row>
    <row r="912" spans="1:24" ht="15.75" customHeight="1" x14ac:dyDescent="0.35">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row>
    <row r="913" spans="1:24" ht="15.75" customHeight="1" x14ac:dyDescent="0.35">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row>
    <row r="914" spans="1:24" ht="15.75" customHeight="1" x14ac:dyDescent="0.35">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row>
    <row r="915" spans="1:24" ht="15.75" customHeight="1" x14ac:dyDescent="0.3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row>
    <row r="916" spans="1:24" ht="15.75" customHeight="1" x14ac:dyDescent="0.35">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row>
    <row r="917" spans="1:24" ht="15.75" customHeight="1" x14ac:dyDescent="0.35">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row>
    <row r="918" spans="1:24" ht="15.75" customHeight="1" x14ac:dyDescent="0.35">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row>
    <row r="919" spans="1:24" ht="15.75" customHeight="1" x14ac:dyDescent="0.35">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row>
    <row r="920" spans="1:24" ht="15.75" customHeight="1" x14ac:dyDescent="0.35">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row>
    <row r="921" spans="1:24" ht="15.75" customHeight="1" x14ac:dyDescent="0.35">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row>
    <row r="922" spans="1:24" ht="15.75" customHeight="1" x14ac:dyDescent="0.35">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row>
    <row r="923" spans="1:24" ht="15.75" customHeight="1" x14ac:dyDescent="0.35">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row>
    <row r="924" spans="1:24" ht="15.75" customHeight="1" x14ac:dyDescent="0.35">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row>
    <row r="925" spans="1:24" ht="15.75" customHeight="1" x14ac:dyDescent="0.3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row>
    <row r="926" spans="1:24" ht="15.75" customHeight="1" x14ac:dyDescent="0.35">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row>
    <row r="927" spans="1:24" ht="15.75" customHeight="1" x14ac:dyDescent="0.35">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row>
    <row r="928" spans="1:24" ht="15.75" customHeight="1" x14ac:dyDescent="0.35">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row>
    <row r="929" spans="1:24" ht="15.75" customHeight="1" x14ac:dyDescent="0.35">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row>
    <row r="930" spans="1:24" ht="15.75" customHeight="1" x14ac:dyDescent="0.35">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row>
  </sheetData>
  <pageMargins left="0.11811023622047245" right="0.11811023622047245" top="0.74803149606299213" bottom="0.74803149606299213" header="0" footer="0"/>
  <pageSetup paperSize="9"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24DAF-384F-4D52-A1C1-DE4102435808}">
  <dimension ref="A1:S1000"/>
  <sheetViews>
    <sheetView workbookViewId="0">
      <pane xSplit="1" ySplit="4" topLeftCell="F64" activePane="bottomRight" state="frozen"/>
      <selection activeCell="M4" sqref="M4"/>
      <selection pane="topRight" activeCell="M4" sqref="M4"/>
      <selection pane="bottomLeft" activeCell="M4" sqref="M4"/>
      <selection pane="bottomRight" activeCell="G1" sqref="G1:R1048576"/>
    </sheetView>
  </sheetViews>
  <sheetFormatPr baseColWidth="10" defaultColWidth="14.453125" defaultRowHeight="15" customHeight="1" x14ac:dyDescent="0.35"/>
  <cols>
    <col min="1" max="1" width="12.453125" customWidth="1"/>
    <col min="2" max="2" width="18.453125" customWidth="1"/>
    <col min="3" max="3" width="12.453125" customWidth="1"/>
    <col min="4" max="4" width="11" customWidth="1"/>
    <col min="5" max="5" width="15.453125" customWidth="1"/>
    <col min="6" max="6" width="10.7265625" customWidth="1"/>
    <col min="7" max="18" width="10.7265625" style="139" customWidth="1"/>
    <col min="19" max="19" width="10.7265625" customWidth="1"/>
  </cols>
  <sheetData>
    <row r="1" spans="1:17" ht="14.25" customHeight="1" x14ac:dyDescent="0.35">
      <c r="A1" s="4"/>
      <c r="B1" s="4"/>
      <c r="C1" s="4"/>
      <c r="D1" s="4"/>
      <c r="E1" s="4"/>
    </row>
    <row r="2" spans="1:17" ht="14.25" customHeight="1" thickBot="1" x14ac:dyDescent="0.4">
      <c r="A2" s="5"/>
      <c r="B2" s="5"/>
      <c r="C2" s="5"/>
      <c r="D2" s="5"/>
      <c r="E2" s="5"/>
    </row>
    <row r="3" spans="1:17" ht="14.25" customHeight="1" thickBot="1" x14ac:dyDescent="0.4">
      <c r="A3" s="137" t="s">
        <v>56</v>
      </c>
      <c r="B3" s="138"/>
      <c r="C3" s="6" t="s">
        <v>57</v>
      </c>
      <c r="D3" s="7"/>
      <c r="E3" s="8"/>
    </row>
    <row r="4" spans="1:17" ht="14.25" customHeight="1" thickBot="1" x14ac:dyDescent="0.4">
      <c r="A4" s="9" t="s">
        <v>58</v>
      </c>
      <c r="B4" s="10" t="s">
        <v>59</v>
      </c>
      <c r="C4" s="10" t="s">
        <v>60</v>
      </c>
      <c r="D4" s="10" t="s">
        <v>61</v>
      </c>
      <c r="E4" s="10" t="s">
        <v>62</v>
      </c>
    </row>
    <row r="5" spans="1:17" ht="14.25" customHeight="1" thickBot="1" x14ac:dyDescent="0.4">
      <c r="A5" s="11">
        <v>0</v>
      </c>
      <c r="B5" s="12">
        <v>1520371.67</v>
      </c>
      <c r="C5" s="13">
        <v>0</v>
      </c>
      <c r="D5" s="13">
        <v>5</v>
      </c>
      <c r="E5" s="13">
        <v>0</v>
      </c>
      <c r="G5" s="140"/>
      <c r="L5" s="140"/>
      <c r="Q5" s="140"/>
    </row>
    <row r="6" spans="1:17" ht="14.25" customHeight="1" thickBot="1" x14ac:dyDescent="0.4">
      <c r="A6" s="14">
        <v>1520371.67</v>
      </c>
      <c r="B6" s="12">
        <v>3040743.34</v>
      </c>
      <c r="C6" s="12">
        <v>76018.58</v>
      </c>
      <c r="D6" s="13">
        <v>9</v>
      </c>
      <c r="E6" s="12">
        <v>1520371.67</v>
      </c>
      <c r="G6" s="140"/>
      <c r="L6" s="140"/>
      <c r="Q6" s="140"/>
    </row>
    <row r="7" spans="1:17" ht="14.25" customHeight="1" thickBot="1" x14ac:dyDescent="0.4">
      <c r="A7" s="14">
        <v>3040743.34</v>
      </c>
      <c r="B7" s="12">
        <v>4561115.01</v>
      </c>
      <c r="C7" s="12">
        <v>212852.03</v>
      </c>
      <c r="D7" s="13">
        <v>12</v>
      </c>
      <c r="E7" s="12">
        <v>3040743.34</v>
      </c>
      <c r="G7" s="140"/>
      <c r="L7" s="140"/>
      <c r="Q7" s="140"/>
    </row>
    <row r="8" spans="1:17" ht="14.25" customHeight="1" thickBot="1" x14ac:dyDescent="0.4">
      <c r="A8" s="14">
        <v>4561115.01</v>
      </c>
      <c r="B8" s="12">
        <v>6841672.5199999996</v>
      </c>
      <c r="C8" s="12">
        <v>395296.63</v>
      </c>
      <c r="D8" s="13">
        <v>15</v>
      </c>
      <c r="E8" s="12">
        <v>4561115.01</v>
      </c>
      <c r="G8" s="140"/>
      <c r="L8" s="140"/>
      <c r="Q8" s="140"/>
    </row>
    <row r="9" spans="1:17" ht="14.25" customHeight="1" thickBot="1" x14ac:dyDescent="0.4">
      <c r="A9" s="14">
        <v>6841672.5199999996</v>
      </c>
      <c r="B9" s="12">
        <v>13683345.039999999</v>
      </c>
      <c r="C9" s="12">
        <v>737380.26</v>
      </c>
      <c r="D9" s="13">
        <v>19</v>
      </c>
      <c r="E9" s="12">
        <v>6841672.5199999996</v>
      </c>
      <c r="G9" s="140"/>
      <c r="L9" s="140"/>
      <c r="Q9" s="140"/>
    </row>
    <row r="10" spans="1:17" ht="14.25" customHeight="1" thickBot="1" x14ac:dyDescent="0.4">
      <c r="A10" s="14">
        <v>13683345.039999999</v>
      </c>
      <c r="B10" s="12">
        <v>20525017.559999999</v>
      </c>
      <c r="C10" s="12">
        <v>2037298.04</v>
      </c>
      <c r="D10" s="13">
        <v>23</v>
      </c>
      <c r="E10" s="12">
        <v>13683345.039999999</v>
      </c>
      <c r="G10" s="140"/>
      <c r="L10" s="140"/>
      <c r="Q10" s="140"/>
    </row>
    <row r="11" spans="1:17" ht="14.25" customHeight="1" thickBot="1" x14ac:dyDescent="0.4">
      <c r="A11" s="14">
        <v>20525017.559999999</v>
      </c>
      <c r="B11" s="12">
        <v>30787526.34</v>
      </c>
      <c r="C11" s="12">
        <v>3610882.72</v>
      </c>
      <c r="D11" s="13">
        <v>27</v>
      </c>
      <c r="E11" s="12">
        <v>20525017.559999999</v>
      </c>
      <c r="G11" s="140"/>
      <c r="L11" s="140"/>
      <c r="Q11" s="140"/>
    </row>
    <row r="12" spans="1:17" ht="14.25" customHeight="1" thickBot="1" x14ac:dyDescent="0.4">
      <c r="A12" s="14">
        <v>30787526.34</v>
      </c>
      <c r="B12" s="12">
        <v>46181289.520000003</v>
      </c>
      <c r="C12" s="12">
        <v>6381760.0899999999</v>
      </c>
      <c r="D12" s="13">
        <v>31</v>
      </c>
      <c r="E12" s="12">
        <v>30787526.34</v>
      </c>
      <c r="G12" s="140"/>
      <c r="L12" s="140"/>
      <c r="Q12" s="140"/>
    </row>
    <row r="13" spans="1:17" ht="14.25" customHeight="1" thickBot="1" x14ac:dyDescent="0.4">
      <c r="A13" s="14">
        <v>46181289.520000003</v>
      </c>
      <c r="B13" s="15" t="s">
        <v>63</v>
      </c>
      <c r="C13" s="12">
        <v>11153826.67</v>
      </c>
      <c r="D13" s="13">
        <v>35</v>
      </c>
      <c r="E13" s="12">
        <v>46181289.520000003</v>
      </c>
      <c r="G13" s="140"/>
      <c r="L13" s="140"/>
      <c r="Q13" s="140"/>
    </row>
    <row r="14" spans="1:17" ht="14.25" customHeight="1" x14ac:dyDescent="0.35">
      <c r="A14" s="4"/>
      <c r="B14" s="4"/>
      <c r="C14" s="4"/>
      <c r="D14" s="4"/>
      <c r="E14" s="2"/>
    </row>
    <row r="15" spans="1:17" ht="14.25" customHeight="1" x14ac:dyDescent="0.35">
      <c r="A15" s="4"/>
      <c r="B15" s="4"/>
      <c r="C15" s="4"/>
      <c r="D15" s="4"/>
      <c r="E15" s="4"/>
    </row>
    <row r="16" spans="1:17" ht="14.25" customHeight="1" x14ac:dyDescent="0.35">
      <c r="A16" s="4"/>
      <c r="B16" s="4"/>
      <c r="C16" s="4"/>
      <c r="D16" s="4"/>
      <c r="E16" s="4"/>
    </row>
    <row r="17" spans="1:19" ht="14.25" customHeight="1" x14ac:dyDescent="0.35">
      <c r="A17" s="4">
        <v>20</v>
      </c>
      <c r="B17" s="4"/>
      <c r="C17" s="4"/>
      <c r="D17" s="4"/>
      <c r="E17" s="4"/>
    </row>
    <row r="18" spans="1:19" ht="14.25" customHeight="1" thickBot="1" x14ac:dyDescent="0.4">
      <c r="A18" s="4">
        <v>1</v>
      </c>
      <c r="B18" s="4">
        <v>1</v>
      </c>
      <c r="C18" s="4">
        <v>1</v>
      </c>
      <c r="D18" s="4">
        <v>1</v>
      </c>
      <c r="E18" s="4">
        <v>1</v>
      </c>
    </row>
    <row r="19" spans="1:19" ht="14.25" customHeight="1" thickBot="1" x14ac:dyDescent="0.4">
      <c r="A19" s="35">
        <v>0</v>
      </c>
      <c r="B19" s="36">
        <v>166669.17000000001</v>
      </c>
      <c r="C19" s="35">
        <v>0</v>
      </c>
      <c r="D19" s="37">
        <v>0.05</v>
      </c>
      <c r="E19" s="38">
        <v>0</v>
      </c>
      <c r="F19" s="16"/>
      <c r="G19" s="140"/>
      <c r="H19" s="141"/>
      <c r="I19" s="141"/>
      <c r="J19" s="141"/>
      <c r="K19" s="141"/>
      <c r="L19" s="140"/>
      <c r="M19" s="141"/>
      <c r="N19" s="141"/>
      <c r="O19" s="141"/>
      <c r="P19" s="141"/>
      <c r="Q19" s="140"/>
      <c r="R19" s="141"/>
      <c r="S19" s="16"/>
    </row>
    <row r="20" spans="1:19" ht="14.25" customHeight="1" thickBot="1" x14ac:dyDescent="0.4">
      <c r="A20" s="39">
        <v>166669.17000000001</v>
      </c>
      <c r="B20" s="40">
        <v>333338.34999999998</v>
      </c>
      <c r="C20" s="36">
        <v>8333.4599999999991</v>
      </c>
      <c r="D20" s="41">
        <v>0.09</v>
      </c>
      <c r="E20" s="39">
        <v>166669.17000000001</v>
      </c>
      <c r="F20" s="16"/>
      <c r="G20" s="140"/>
      <c r="H20" s="141"/>
      <c r="I20" s="141"/>
      <c r="J20" s="141"/>
      <c r="K20" s="141"/>
      <c r="L20" s="140"/>
      <c r="M20" s="141"/>
      <c r="N20" s="141"/>
      <c r="O20" s="141"/>
      <c r="P20" s="141"/>
      <c r="Q20" s="140"/>
      <c r="R20" s="141"/>
      <c r="S20" s="16"/>
    </row>
    <row r="21" spans="1:19" ht="14.25" customHeight="1" thickBot="1" x14ac:dyDescent="0.4">
      <c r="A21" s="39">
        <v>333338.34999999998</v>
      </c>
      <c r="B21" s="40">
        <v>500007.52</v>
      </c>
      <c r="C21" s="40" t="s">
        <v>81</v>
      </c>
      <c r="D21" s="41">
        <v>0.12</v>
      </c>
      <c r="E21" s="39">
        <v>333338.34999999998</v>
      </c>
      <c r="F21" s="16"/>
      <c r="G21" s="140"/>
      <c r="H21" s="141"/>
      <c r="I21" s="141"/>
      <c r="J21" s="141"/>
      <c r="K21" s="141"/>
      <c r="L21" s="140"/>
      <c r="M21" s="141"/>
      <c r="N21" s="141"/>
      <c r="O21" s="141"/>
      <c r="P21" s="141"/>
      <c r="Q21" s="140"/>
      <c r="R21" s="141"/>
      <c r="S21" s="16"/>
    </row>
    <row r="22" spans="1:19" ht="14.25" customHeight="1" thickBot="1" x14ac:dyDescent="0.4">
      <c r="A22" s="39">
        <v>500007.52</v>
      </c>
      <c r="B22" s="40">
        <v>750011.28</v>
      </c>
      <c r="C22" s="40">
        <v>43333.99</v>
      </c>
      <c r="D22" s="41">
        <v>0.15</v>
      </c>
      <c r="E22" s="39">
        <v>500007.52</v>
      </c>
      <c r="F22" s="16"/>
      <c r="G22" s="140"/>
      <c r="H22" s="141"/>
      <c r="I22" s="141"/>
      <c r="J22" s="141"/>
      <c r="K22" s="141"/>
      <c r="L22" s="140"/>
      <c r="M22" s="141"/>
      <c r="N22" s="141"/>
      <c r="O22" s="141"/>
      <c r="P22" s="141"/>
      <c r="Q22" s="140"/>
      <c r="R22" s="141"/>
      <c r="S22" s="16"/>
    </row>
    <row r="23" spans="1:19" ht="14.25" customHeight="1" thickBot="1" x14ac:dyDescent="0.4">
      <c r="A23" s="39">
        <v>750011.28</v>
      </c>
      <c r="B23" s="40">
        <v>1500022.57</v>
      </c>
      <c r="C23" s="40">
        <v>80834.55</v>
      </c>
      <c r="D23" s="41">
        <v>0.19</v>
      </c>
      <c r="E23" s="39">
        <v>750011.28</v>
      </c>
      <c r="F23" s="16"/>
      <c r="G23" s="140"/>
      <c r="H23" s="141"/>
      <c r="I23" s="141"/>
      <c r="J23" s="141"/>
      <c r="K23" s="141"/>
      <c r="L23" s="140"/>
      <c r="M23" s="141"/>
      <c r="N23" s="141"/>
      <c r="O23" s="141"/>
      <c r="P23" s="141"/>
      <c r="Q23" s="140"/>
      <c r="R23" s="141"/>
      <c r="S23" s="16"/>
    </row>
    <row r="24" spans="1:19" ht="14.25" customHeight="1" thickBot="1" x14ac:dyDescent="0.4">
      <c r="A24" s="39">
        <v>1500022.57</v>
      </c>
      <c r="B24" s="40">
        <v>2250033.85</v>
      </c>
      <c r="C24" s="40">
        <v>223336.69</v>
      </c>
      <c r="D24" s="41">
        <v>0.23</v>
      </c>
      <c r="E24" s="39">
        <v>1500022.57</v>
      </c>
      <c r="F24" s="16"/>
      <c r="G24" s="140"/>
      <c r="H24" s="141"/>
      <c r="I24" s="141"/>
      <c r="J24" s="141"/>
      <c r="K24" s="141"/>
      <c r="L24" s="140"/>
      <c r="M24" s="141"/>
      <c r="N24" s="141"/>
      <c r="O24" s="141"/>
      <c r="P24" s="141"/>
      <c r="Q24" s="140"/>
      <c r="R24" s="141"/>
      <c r="S24" s="16"/>
    </row>
    <row r="25" spans="1:19" ht="14.25" customHeight="1" thickBot="1" x14ac:dyDescent="0.4">
      <c r="A25" s="39">
        <v>2250033.85</v>
      </c>
      <c r="B25" s="40">
        <v>3375050.77</v>
      </c>
      <c r="C25" s="40">
        <v>395839.29</v>
      </c>
      <c r="D25" s="41">
        <v>0.27</v>
      </c>
      <c r="E25" s="39">
        <v>2250033.85</v>
      </c>
      <c r="F25" s="16"/>
      <c r="G25" s="140"/>
      <c r="H25" s="141"/>
      <c r="I25" s="141"/>
      <c r="J25" s="141"/>
      <c r="K25" s="141"/>
      <c r="L25" s="140"/>
      <c r="M25" s="141"/>
      <c r="N25" s="141"/>
      <c r="O25" s="141"/>
      <c r="P25" s="141"/>
      <c r="Q25" s="140"/>
      <c r="R25" s="141"/>
      <c r="S25" s="16"/>
    </row>
    <row r="26" spans="1:19" ht="14.25" customHeight="1" thickBot="1" x14ac:dyDescent="0.4">
      <c r="A26" s="39">
        <v>3375050.77</v>
      </c>
      <c r="B26" s="40">
        <v>5062576.16</v>
      </c>
      <c r="C26" s="40">
        <v>699593.86</v>
      </c>
      <c r="D26" s="41">
        <v>0.31</v>
      </c>
      <c r="E26" s="39">
        <v>3375050.77</v>
      </c>
      <c r="F26" s="16"/>
      <c r="G26" s="140"/>
      <c r="H26" s="141"/>
      <c r="I26" s="141"/>
      <c r="J26" s="141"/>
      <c r="K26" s="141"/>
      <c r="L26" s="140"/>
      <c r="M26" s="141"/>
      <c r="N26" s="141"/>
      <c r="O26" s="141"/>
      <c r="P26" s="141"/>
      <c r="Q26" s="140"/>
      <c r="R26" s="141"/>
      <c r="S26" s="16"/>
    </row>
    <row r="27" spans="1:19" ht="14.25" customHeight="1" thickBot="1" x14ac:dyDescent="0.4">
      <c r="A27" s="39">
        <v>5062576.16</v>
      </c>
      <c r="B27" s="42" t="s">
        <v>63</v>
      </c>
      <c r="C27" s="40">
        <v>1222726.73</v>
      </c>
      <c r="D27" s="43">
        <v>0.35</v>
      </c>
      <c r="E27" s="39">
        <v>5062576.16</v>
      </c>
      <c r="F27" s="16"/>
      <c r="G27" s="140"/>
      <c r="H27" s="141"/>
      <c r="I27" s="141"/>
      <c r="J27" s="141"/>
      <c r="K27" s="141"/>
      <c r="L27" s="140"/>
      <c r="M27" s="141"/>
      <c r="N27" s="141"/>
      <c r="O27" s="141"/>
      <c r="P27" s="141"/>
      <c r="Q27" s="140"/>
      <c r="R27" s="141"/>
      <c r="S27" s="16"/>
    </row>
    <row r="28" spans="1:19" ht="14.25" customHeight="1" x14ac:dyDescent="0.35">
      <c r="A28" s="2">
        <f t="shared" ref="A28:C28" si="0">+A18+1</f>
        <v>2</v>
      </c>
      <c r="B28" s="2">
        <f t="shared" si="0"/>
        <v>2</v>
      </c>
      <c r="C28" s="2">
        <f t="shared" si="0"/>
        <v>2</v>
      </c>
      <c r="D28" s="3"/>
      <c r="E28" s="2">
        <f>+E18+1</f>
        <v>2</v>
      </c>
    </row>
    <row r="29" spans="1:19" ht="14.25" customHeight="1" x14ac:dyDescent="0.35">
      <c r="A29" s="17">
        <v>0</v>
      </c>
      <c r="B29" s="17">
        <v>333338.34999999998</v>
      </c>
      <c r="C29" s="17">
        <v>0</v>
      </c>
      <c r="D29" s="20">
        <v>0.05</v>
      </c>
      <c r="E29" s="17">
        <v>0</v>
      </c>
    </row>
    <row r="30" spans="1:19" ht="14.25" customHeight="1" x14ac:dyDescent="0.35">
      <c r="A30" s="17">
        <v>333338.34999999998</v>
      </c>
      <c r="B30" s="17">
        <v>666676.68999999994</v>
      </c>
      <c r="C30" s="17">
        <v>16666.919999999998</v>
      </c>
      <c r="D30" s="20">
        <v>0.09</v>
      </c>
      <c r="E30" s="17">
        <v>333338.34999999998</v>
      </c>
    </row>
    <row r="31" spans="1:19" ht="14.25" customHeight="1" x14ac:dyDescent="0.35">
      <c r="A31" s="17">
        <v>666676.68999999994</v>
      </c>
      <c r="B31" s="17">
        <v>1000015.04</v>
      </c>
      <c r="C31" s="17">
        <v>46667.37</v>
      </c>
      <c r="D31" s="20">
        <v>0.12</v>
      </c>
      <c r="E31" s="17">
        <v>666676.68999999994</v>
      </c>
    </row>
    <row r="32" spans="1:19" ht="14.25" customHeight="1" x14ac:dyDescent="0.35">
      <c r="A32" s="17">
        <v>1000015.04</v>
      </c>
      <c r="B32" s="17">
        <v>1500022.57</v>
      </c>
      <c r="C32" s="17">
        <v>86667.97</v>
      </c>
      <c r="D32" s="20">
        <v>0.15</v>
      </c>
      <c r="E32" s="17">
        <v>1000015.04</v>
      </c>
    </row>
    <row r="33" spans="1:5" ht="14.25" customHeight="1" x14ac:dyDescent="0.35">
      <c r="A33" s="17">
        <v>1500022.57</v>
      </c>
      <c r="B33" s="17">
        <v>3000045.13</v>
      </c>
      <c r="C33" s="17">
        <v>161669.1</v>
      </c>
      <c r="D33" s="20">
        <v>0.19</v>
      </c>
      <c r="E33" s="17">
        <v>1500022.57</v>
      </c>
    </row>
    <row r="34" spans="1:5" ht="14.25" customHeight="1" x14ac:dyDescent="0.35">
      <c r="A34" s="17">
        <v>3000045.13</v>
      </c>
      <c r="B34" s="17">
        <v>4500067.7</v>
      </c>
      <c r="C34" s="17">
        <v>446673.39</v>
      </c>
      <c r="D34" s="20">
        <v>0.23</v>
      </c>
      <c r="E34" s="17">
        <v>3000045.13</v>
      </c>
    </row>
    <row r="35" spans="1:5" ht="14.25" customHeight="1" x14ac:dyDescent="0.35">
      <c r="A35" s="17">
        <v>4500067.7</v>
      </c>
      <c r="B35" s="17">
        <v>6750101.5499999998</v>
      </c>
      <c r="C35" s="17">
        <v>791678.58</v>
      </c>
      <c r="D35" s="20">
        <v>0.27</v>
      </c>
      <c r="E35" s="17">
        <v>4500067.7</v>
      </c>
    </row>
    <row r="36" spans="1:5" ht="14.25" customHeight="1" x14ac:dyDescent="0.35">
      <c r="A36" s="17">
        <v>6750101.5499999998</v>
      </c>
      <c r="B36" s="17">
        <v>10125152.33</v>
      </c>
      <c r="C36" s="17">
        <v>1399187.72</v>
      </c>
      <c r="D36" s="20">
        <v>0.31</v>
      </c>
      <c r="E36" s="17">
        <v>6750101.5499999998</v>
      </c>
    </row>
    <row r="37" spans="1:5" ht="14.25" customHeight="1" x14ac:dyDescent="0.35">
      <c r="A37" s="17">
        <v>10125152.33</v>
      </c>
      <c r="B37" s="17" t="s">
        <v>63</v>
      </c>
      <c r="C37" s="17">
        <v>2445453.46</v>
      </c>
      <c r="D37" s="20">
        <v>0.35</v>
      </c>
      <c r="E37" s="17">
        <v>10125152.33</v>
      </c>
    </row>
    <row r="38" spans="1:5" ht="14.25" customHeight="1" thickBot="1" x14ac:dyDescent="0.4">
      <c r="A38" s="2">
        <f t="shared" ref="A38:C38" si="1">+A28+1</f>
        <v>3</v>
      </c>
      <c r="B38" s="2">
        <f t="shared" si="1"/>
        <v>3</v>
      </c>
      <c r="C38" s="2">
        <f t="shared" si="1"/>
        <v>3</v>
      </c>
      <c r="D38" s="3"/>
      <c r="E38" s="2">
        <f>+E28+1</f>
        <v>3</v>
      </c>
    </row>
    <row r="39" spans="1:5" ht="14.25" customHeight="1" thickBot="1" x14ac:dyDescent="0.4">
      <c r="A39" s="44">
        <v>0</v>
      </c>
      <c r="B39" s="45">
        <v>500007.52</v>
      </c>
      <c r="C39" s="45">
        <v>0</v>
      </c>
      <c r="D39" s="46">
        <v>0.05</v>
      </c>
      <c r="E39" s="47">
        <v>0</v>
      </c>
    </row>
    <row r="40" spans="1:5" ht="14.25" customHeight="1" thickBot="1" x14ac:dyDescent="0.4">
      <c r="A40" s="45">
        <v>500007.52</v>
      </c>
      <c r="B40" s="45">
        <v>1000015.04</v>
      </c>
      <c r="C40" s="45">
        <v>25000.38</v>
      </c>
      <c r="D40" s="48">
        <v>0.09</v>
      </c>
      <c r="E40" s="45">
        <v>500007.52</v>
      </c>
    </row>
    <row r="41" spans="1:5" ht="14.25" customHeight="1" thickBot="1" x14ac:dyDescent="0.4">
      <c r="A41" s="45">
        <v>1000015.04</v>
      </c>
      <c r="B41" s="45">
        <v>1500022.56</v>
      </c>
      <c r="C41" s="45">
        <v>70001.05</v>
      </c>
      <c r="D41" s="48">
        <v>0.12</v>
      </c>
      <c r="E41" s="45">
        <v>1000015.04</v>
      </c>
    </row>
    <row r="42" spans="1:5" ht="14.25" customHeight="1" thickBot="1" x14ac:dyDescent="0.4">
      <c r="A42" s="45">
        <v>1500022.56</v>
      </c>
      <c r="B42" s="45">
        <v>2250033.85</v>
      </c>
      <c r="C42" s="45">
        <v>130001.96</v>
      </c>
      <c r="D42" s="48">
        <v>0.15</v>
      </c>
      <c r="E42" s="45">
        <v>1500022.56</v>
      </c>
    </row>
    <row r="43" spans="1:5" ht="14.25" customHeight="1" thickBot="1" x14ac:dyDescent="0.4">
      <c r="A43" s="45">
        <v>2250033.85</v>
      </c>
      <c r="B43" s="45">
        <v>4500067.7</v>
      </c>
      <c r="C43" s="45">
        <v>242503.65</v>
      </c>
      <c r="D43" s="48">
        <v>0.19</v>
      </c>
      <c r="E43" s="45">
        <v>2250033.85</v>
      </c>
    </row>
    <row r="44" spans="1:5" ht="14.25" customHeight="1" thickBot="1" x14ac:dyDescent="0.4">
      <c r="A44" s="45">
        <v>4500067.7</v>
      </c>
      <c r="B44" s="45">
        <v>6750101.5499999998</v>
      </c>
      <c r="C44" s="45">
        <v>670010.07999999996</v>
      </c>
      <c r="D44" s="48">
        <v>0.23</v>
      </c>
      <c r="E44" s="45">
        <v>4500067.7</v>
      </c>
    </row>
    <row r="45" spans="1:5" ht="14.25" customHeight="1" thickBot="1" x14ac:dyDescent="0.4">
      <c r="A45" s="45">
        <v>6750101.5499999998</v>
      </c>
      <c r="B45" s="45">
        <v>10125152.32</v>
      </c>
      <c r="C45" s="45">
        <v>1187517.8700000001</v>
      </c>
      <c r="D45" s="48">
        <v>0.27</v>
      </c>
      <c r="E45" s="45">
        <v>6750101.5499999998</v>
      </c>
    </row>
    <row r="46" spans="1:5" ht="14.25" customHeight="1" thickBot="1" x14ac:dyDescent="0.4">
      <c r="A46" s="45">
        <v>10125152.32</v>
      </c>
      <c r="B46" s="45">
        <v>15187728.49</v>
      </c>
      <c r="C46" s="45">
        <v>2098781.5699999998</v>
      </c>
      <c r="D46" s="48">
        <v>0.31</v>
      </c>
      <c r="E46" s="45">
        <v>10125152.32</v>
      </c>
    </row>
    <row r="47" spans="1:5" ht="14.25" customHeight="1" thickBot="1" x14ac:dyDescent="0.4">
      <c r="A47" s="45">
        <v>15187728.49</v>
      </c>
      <c r="B47" s="49" t="s">
        <v>63</v>
      </c>
      <c r="C47" s="45">
        <v>3668180.19</v>
      </c>
      <c r="D47" s="50">
        <v>0.35</v>
      </c>
      <c r="E47" s="45">
        <v>15187728.49</v>
      </c>
    </row>
    <row r="48" spans="1:5" ht="14.25" customHeight="1" thickBot="1" x14ac:dyDescent="0.4">
      <c r="A48" s="2">
        <f t="shared" ref="A48:C48" si="2">+A38+1</f>
        <v>4</v>
      </c>
      <c r="B48" s="2">
        <f t="shared" si="2"/>
        <v>4</v>
      </c>
      <c r="C48" s="2">
        <f t="shared" si="2"/>
        <v>4</v>
      </c>
      <c r="D48" s="3"/>
      <c r="E48" s="2">
        <f>+E38+1</f>
        <v>4</v>
      </c>
    </row>
    <row r="49" spans="1:5" ht="14.25" customHeight="1" thickBot="1" x14ac:dyDescent="0.4">
      <c r="A49" s="44">
        <v>0</v>
      </c>
      <c r="B49" s="51">
        <v>666676.69999999995</v>
      </c>
      <c r="C49" s="44">
        <v>0</v>
      </c>
      <c r="D49" s="46">
        <v>0.05</v>
      </c>
      <c r="E49" s="47">
        <v>0</v>
      </c>
    </row>
    <row r="50" spans="1:5" ht="14.25" customHeight="1" thickBot="1" x14ac:dyDescent="0.4">
      <c r="A50" s="45">
        <v>666676.69999999995</v>
      </c>
      <c r="B50" s="45">
        <v>1333353.3899999999</v>
      </c>
      <c r="C50" s="45">
        <v>33333.83</v>
      </c>
      <c r="D50" s="48">
        <v>0.09</v>
      </c>
      <c r="E50" s="45">
        <v>666676.69999999995</v>
      </c>
    </row>
    <row r="51" spans="1:5" ht="14.25" customHeight="1" thickBot="1" x14ac:dyDescent="0.4">
      <c r="A51" s="45">
        <v>1333353.3899999999</v>
      </c>
      <c r="B51" s="45">
        <v>2000030.09</v>
      </c>
      <c r="C51" s="45">
        <v>93334.74</v>
      </c>
      <c r="D51" s="48">
        <v>0.12</v>
      </c>
      <c r="E51" s="45">
        <v>1333353.3899999999</v>
      </c>
    </row>
    <row r="52" spans="1:5" ht="14.25" customHeight="1" thickBot="1" x14ac:dyDescent="0.4">
      <c r="A52" s="45">
        <v>2000030.09</v>
      </c>
      <c r="B52" s="45">
        <v>3000045.13</v>
      </c>
      <c r="C52" s="45">
        <v>173335.94</v>
      </c>
      <c r="D52" s="48">
        <v>0.15</v>
      </c>
      <c r="E52" s="45">
        <v>2000030.09</v>
      </c>
    </row>
    <row r="53" spans="1:5" ht="14.25" customHeight="1" thickBot="1" x14ac:dyDescent="0.4">
      <c r="A53" s="45">
        <v>3000045.13</v>
      </c>
      <c r="B53" s="45">
        <v>6000090.2699999996</v>
      </c>
      <c r="C53" s="45">
        <v>323338.2</v>
      </c>
      <c r="D53" s="48">
        <v>0.19</v>
      </c>
      <c r="E53" s="45">
        <v>3000045.13</v>
      </c>
    </row>
    <row r="54" spans="1:5" ht="14.25" customHeight="1" thickBot="1" x14ac:dyDescent="0.4">
      <c r="A54" s="45">
        <v>6000090.2699999996</v>
      </c>
      <c r="B54" s="45">
        <v>9000135.4000000004</v>
      </c>
      <c r="C54" s="45">
        <v>893346.77</v>
      </c>
      <c r="D54" s="48">
        <v>0.23</v>
      </c>
      <c r="E54" s="45">
        <v>6000090.2699999996</v>
      </c>
    </row>
    <row r="55" spans="1:5" ht="14.25" customHeight="1" thickBot="1" x14ac:dyDescent="0.4">
      <c r="A55" s="45">
        <v>9000135.4000000004</v>
      </c>
      <c r="B55" s="45">
        <v>13500203.1</v>
      </c>
      <c r="C55" s="45">
        <v>1583357.15</v>
      </c>
      <c r="D55" s="48">
        <v>0.27</v>
      </c>
      <c r="E55" s="45">
        <v>9000135.4000000004</v>
      </c>
    </row>
    <row r="56" spans="1:5" ht="14.25" customHeight="1" thickBot="1" x14ac:dyDescent="0.4">
      <c r="A56" s="45">
        <v>13500203.1</v>
      </c>
      <c r="B56" s="45">
        <v>20250304.649999999</v>
      </c>
      <c r="C56" s="45">
        <v>2798375.43</v>
      </c>
      <c r="D56" s="48">
        <v>0.31</v>
      </c>
      <c r="E56" s="45">
        <v>13500203.1</v>
      </c>
    </row>
    <row r="57" spans="1:5" ht="14.25" customHeight="1" thickBot="1" x14ac:dyDescent="0.4">
      <c r="A57" s="45">
        <v>20250304.649999999</v>
      </c>
      <c r="B57" s="49" t="s">
        <v>63</v>
      </c>
      <c r="C57" s="45">
        <v>4890906.91</v>
      </c>
      <c r="D57" s="50">
        <v>0.35</v>
      </c>
      <c r="E57" s="45">
        <v>20250304.649999999</v>
      </c>
    </row>
    <row r="58" spans="1:5" ht="14.25" customHeight="1" thickBot="1" x14ac:dyDescent="0.4">
      <c r="A58" s="2">
        <f t="shared" ref="A58:C58" si="3">+A48+1</f>
        <v>5</v>
      </c>
      <c r="B58" s="2">
        <f t="shared" si="3"/>
        <v>5</v>
      </c>
      <c r="C58" s="2">
        <f t="shared" si="3"/>
        <v>5</v>
      </c>
      <c r="D58" s="3"/>
      <c r="E58" s="2">
        <f>+E48+1</f>
        <v>5</v>
      </c>
    </row>
    <row r="59" spans="1:5" ht="14.25" customHeight="1" thickBot="1" x14ac:dyDescent="0.4">
      <c r="A59" s="44">
        <v>0</v>
      </c>
      <c r="B59" s="51">
        <v>833345.87</v>
      </c>
      <c r="C59" s="44">
        <v>0</v>
      </c>
      <c r="D59" s="46">
        <v>0.05</v>
      </c>
      <c r="E59" s="47">
        <v>0</v>
      </c>
    </row>
    <row r="60" spans="1:5" ht="14.25" customHeight="1" thickBot="1" x14ac:dyDescent="0.4">
      <c r="A60" s="45">
        <v>833345.87</v>
      </c>
      <c r="B60" s="45">
        <v>1666691.74</v>
      </c>
      <c r="C60" s="51">
        <v>41667.29</v>
      </c>
      <c r="D60" s="48">
        <v>0.09</v>
      </c>
      <c r="E60" s="45">
        <v>833345.87</v>
      </c>
    </row>
    <row r="61" spans="1:5" ht="14.25" customHeight="1" thickBot="1" x14ac:dyDescent="0.4">
      <c r="A61" s="45">
        <v>1666691.74</v>
      </c>
      <c r="B61" s="45">
        <v>2500037.61</v>
      </c>
      <c r="C61" s="45">
        <v>116668.42</v>
      </c>
      <c r="D61" s="48">
        <v>0.12</v>
      </c>
      <c r="E61" s="45">
        <v>1666691.74</v>
      </c>
    </row>
    <row r="62" spans="1:5" ht="14.25" customHeight="1" thickBot="1" x14ac:dyDescent="0.4">
      <c r="A62" s="45">
        <v>2500037.61</v>
      </c>
      <c r="B62" s="45">
        <v>3750056.42</v>
      </c>
      <c r="C62" s="45">
        <v>216669.93</v>
      </c>
      <c r="D62" s="48">
        <v>0.15</v>
      </c>
      <c r="E62" s="45">
        <v>2500037.61</v>
      </c>
    </row>
    <row r="63" spans="1:5" ht="14.25" customHeight="1" thickBot="1" x14ac:dyDescent="0.4">
      <c r="A63" s="45">
        <v>3750056.42</v>
      </c>
      <c r="B63" s="45">
        <v>7500112.8300000001</v>
      </c>
      <c r="C63" s="45">
        <v>404172.75</v>
      </c>
      <c r="D63" s="48">
        <v>0.19</v>
      </c>
      <c r="E63" s="45">
        <v>3750056.42</v>
      </c>
    </row>
    <row r="64" spans="1:5" ht="14.25" customHeight="1" thickBot="1" x14ac:dyDescent="0.4">
      <c r="A64" s="45">
        <v>7500112.8300000001</v>
      </c>
      <c r="B64" s="45">
        <v>11250169.25</v>
      </c>
      <c r="C64" s="45">
        <v>1116683.47</v>
      </c>
      <c r="D64" s="48">
        <v>0.23</v>
      </c>
      <c r="E64" s="45">
        <v>7500112.8300000001</v>
      </c>
    </row>
    <row r="65" spans="1:5" ht="14.25" customHeight="1" thickBot="1" x14ac:dyDescent="0.4">
      <c r="A65" s="45">
        <v>11250169.25</v>
      </c>
      <c r="B65" s="45">
        <v>16875253.870000001</v>
      </c>
      <c r="C65" s="45">
        <v>1979196.44</v>
      </c>
      <c r="D65" s="48">
        <v>0.27</v>
      </c>
      <c r="E65" s="45">
        <v>11250169.25</v>
      </c>
    </row>
    <row r="66" spans="1:5" ht="14.25" customHeight="1" thickBot="1" x14ac:dyDescent="0.4">
      <c r="A66" s="45">
        <v>16875253.870000001</v>
      </c>
      <c r="B66" s="45">
        <v>25312880.809999999</v>
      </c>
      <c r="C66" s="45">
        <v>3497969.29</v>
      </c>
      <c r="D66" s="48">
        <v>0.31</v>
      </c>
      <c r="E66" s="45">
        <v>16875253.870000001</v>
      </c>
    </row>
    <row r="67" spans="1:5" ht="14.25" customHeight="1" thickBot="1" x14ac:dyDescent="0.4">
      <c r="A67" s="45">
        <v>25312880.809999999</v>
      </c>
      <c r="B67" s="49" t="s">
        <v>63</v>
      </c>
      <c r="C67" s="45">
        <v>6113633.6399999997</v>
      </c>
      <c r="D67" s="50">
        <v>0.35</v>
      </c>
      <c r="E67" s="45">
        <v>25312880.809999999</v>
      </c>
    </row>
    <row r="68" spans="1:5" ht="14.25" customHeight="1" thickBot="1" x14ac:dyDescent="0.4">
      <c r="A68" s="2">
        <f t="shared" ref="A68:C68" si="4">+A58+1</f>
        <v>6</v>
      </c>
      <c r="B68" s="2">
        <f t="shared" si="4"/>
        <v>6</v>
      </c>
      <c r="C68" s="2">
        <f t="shared" si="4"/>
        <v>6</v>
      </c>
      <c r="D68" s="3"/>
      <c r="E68" s="2">
        <f>+E58+1</f>
        <v>6</v>
      </c>
    </row>
    <row r="69" spans="1:5" ht="14.25" customHeight="1" thickBot="1" x14ac:dyDescent="0.4">
      <c r="A69" s="44">
        <v>0</v>
      </c>
      <c r="B69" s="51">
        <v>1000015.04</v>
      </c>
      <c r="C69" s="44">
        <v>0</v>
      </c>
      <c r="D69" s="46">
        <v>0.05</v>
      </c>
      <c r="E69" s="47">
        <v>0</v>
      </c>
    </row>
    <row r="70" spans="1:5" ht="14.25" customHeight="1" thickBot="1" x14ac:dyDescent="0.4">
      <c r="A70" s="45">
        <v>1000015.04</v>
      </c>
      <c r="B70" s="45">
        <v>2000030.08</v>
      </c>
      <c r="C70" s="51">
        <v>50000.75</v>
      </c>
      <c r="D70" s="48">
        <v>0.09</v>
      </c>
      <c r="E70" s="45">
        <v>1000015.04</v>
      </c>
    </row>
    <row r="71" spans="1:5" ht="14.25" customHeight="1" thickBot="1" x14ac:dyDescent="0.4">
      <c r="A71" s="45">
        <v>2000030.08</v>
      </c>
      <c r="B71" s="45">
        <v>3000045.13</v>
      </c>
      <c r="C71" s="45">
        <v>140002.10999999999</v>
      </c>
      <c r="D71" s="48">
        <v>0.12</v>
      </c>
      <c r="E71" s="45">
        <v>2000030.08</v>
      </c>
    </row>
    <row r="72" spans="1:5" ht="14.25" customHeight="1" thickBot="1" x14ac:dyDescent="0.4">
      <c r="A72" s="45">
        <v>3000045.13</v>
      </c>
      <c r="B72" s="45">
        <v>4500067.7</v>
      </c>
      <c r="C72" s="45">
        <v>260003.91</v>
      </c>
      <c r="D72" s="48">
        <v>0.15</v>
      </c>
      <c r="E72" s="45">
        <v>3000045.13</v>
      </c>
    </row>
    <row r="73" spans="1:5" ht="14.25" customHeight="1" thickBot="1" x14ac:dyDescent="0.4">
      <c r="A73" s="45">
        <v>4500067.7</v>
      </c>
      <c r="B73" s="45">
        <v>9000135.4000000004</v>
      </c>
      <c r="C73" s="45">
        <v>485007.3</v>
      </c>
      <c r="D73" s="48">
        <v>0.19</v>
      </c>
      <c r="E73" s="45">
        <v>4500067.7</v>
      </c>
    </row>
    <row r="74" spans="1:5" ht="14.25" customHeight="1" thickBot="1" x14ac:dyDescent="0.4">
      <c r="A74" s="45">
        <v>9000135.4000000004</v>
      </c>
      <c r="B74" s="45">
        <v>13500203.1</v>
      </c>
      <c r="C74" s="45">
        <v>1340020.1599999999</v>
      </c>
      <c r="D74" s="48">
        <v>0.23</v>
      </c>
      <c r="E74" s="45">
        <v>9000135.4000000004</v>
      </c>
    </row>
    <row r="75" spans="1:5" ht="14.25" customHeight="1" thickBot="1" x14ac:dyDescent="0.4">
      <c r="A75" s="45">
        <v>13500203.1</v>
      </c>
      <c r="B75" s="45">
        <v>20250304.649999999</v>
      </c>
      <c r="C75" s="45">
        <v>2375035.73</v>
      </c>
      <c r="D75" s="48">
        <v>0.27</v>
      </c>
      <c r="E75" s="45">
        <v>13500203.1</v>
      </c>
    </row>
    <row r="76" spans="1:5" ht="14.25" customHeight="1" thickBot="1" x14ac:dyDescent="0.4">
      <c r="A76" s="45">
        <v>20250304.649999999</v>
      </c>
      <c r="B76" s="45">
        <v>30375456.98</v>
      </c>
      <c r="C76" s="45">
        <v>4197563.1500000004</v>
      </c>
      <c r="D76" s="48">
        <v>0.31</v>
      </c>
      <c r="E76" s="45">
        <v>20250304.649999999</v>
      </c>
    </row>
    <row r="77" spans="1:5" ht="14.25" customHeight="1" thickBot="1" x14ac:dyDescent="0.4">
      <c r="A77" s="45">
        <v>30375456.98</v>
      </c>
      <c r="B77" s="49" t="s">
        <v>63</v>
      </c>
      <c r="C77" s="45">
        <v>7336360.3700000001</v>
      </c>
      <c r="D77" s="50">
        <v>0.35</v>
      </c>
      <c r="E77" s="45">
        <v>30375456.98</v>
      </c>
    </row>
    <row r="78" spans="1:5" ht="14.25" customHeight="1" x14ac:dyDescent="0.35">
      <c r="A78" s="2">
        <f t="shared" ref="A78:C78" si="5">+A68+1</f>
        <v>7</v>
      </c>
      <c r="B78" s="2">
        <f t="shared" si="5"/>
        <v>7</v>
      </c>
      <c r="C78" s="2">
        <f t="shared" si="5"/>
        <v>7</v>
      </c>
      <c r="D78" s="3"/>
      <c r="E78" s="2">
        <f>+E68+1</f>
        <v>7</v>
      </c>
    </row>
    <row r="79" spans="1:5" ht="14.25" customHeight="1" x14ac:dyDescent="0.35">
      <c r="A79" s="17">
        <v>0</v>
      </c>
      <c r="B79" s="17">
        <v>906010.96</v>
      </c>
      <c r="C79" s="17">
        <v>0</v>
      </c>
      <c r="D79" s="3">
        <v>0.05</v>
      </c>
      <c r="E79" s="17">
        <v>0</v>
      </c>
    </row>
    <row r="80" spans="1:5" ht="14.25" customHeight="1" x14ac:dyDescent="0.35">
      <c r="A80" s="17">
        <v>906010.96</v>
      </c>
      <c r="B80" s="17">
        <v>1812021.91</v>
      </c>
      <c r="C80" s="17">
        <v>45300.55</v>
      </c>
      <c r="D80" s="3">
        <v>0.09</v>
      </c>
      <c r="E80" s="17">
        <v>906010.96</v>
      </c>
    </row>
    <row r="81" spans="1:5" ht="14.25" customHeight="1" x14ac:dyDescent="0.35">
      <c r="A81" s="17">
        <v>1812021.91</v>
      </c>
      <c r="B81" s="17">
        <v>2718032.87</v>
      </c>
      <c r="C81" s="17">
        <v>126841.53</v>
      </c>
      <c r="D81" s="3">
        <v>0.12</v>
      </c>
      <c r="E81" s="17">
        <v>1812021.91</v>
      </c>
    </row>
    <row r="82" spans="1:5" ht="14.25" customHeight="1" x14ac:dyDescent="0.35">
      <c r="A82" s="17">
        <v>2718032.87</v>
      </c>
      <c r="B82" s="17">
        <v>4077049.3</v>
      </c>
      <c r="C82" s="17">
        <v>235562.85</v>
      </c>
      <c r="D82" s="3">
        <v>0.15</v>
      </c>
      <c r="E82" s="17">
        <v>2718032.87</v>
      </c>
    </row>
    <row r="83" spans="1:5" ht="14.25" customHeight="1" x14ac:dyDescent="0.35">
      <c r="A83" s="17">
        <v>4077049.3</v>
      </c>
      <c r="B83" s="17">
        <v>8154098.6100000003</v>
      </c>
      <c r="C83" s="17">
        <v>439415.31</v>
      </c>
      <c r="D83" s="3">
        <v>0.19</v>
      </c>
      <c r="E83" s="17">
        <v>4077049.3</v>
      </c>
    </row>
    <row r="84" spans="1:5" ht="14.25" customHeight="1" x14ac:dyDescent="0.35">
      <c r="A84" s="17">
        <v>8154098.6100000003</v>
      </c>
      <c r="B84" s="17">
        <v>12231147.91</v>
      </c>
      <c r="C84" s="17">
        <v>1214054.68</v>
      </c>
      <c r="D84" s="3">
        <v>0.23</v>
      </c>
      <c r="E84" s="17">
        <v>8154098.6100000003</v>
      </c>
    </row>
    <row r="85" spans="1:5" ht="14.25" customHeight="1" x14ac:dyDescent="0.35">
      <c r="A85" s="17">
        <v>12231147.91</v>
      </c>
      <c r="B85" s="17">
        <v>18346721.859999999</v>
      </c>
      <c r="C85" s="17">
        <v>2151776.02</v>
      </c>
      <c r="D85" s="3">
        <v>0.27</v>
      </c>
      <c r="E85" s="17">
        <v>12231147.91</v>
      </c>
    </row>
    <row r="86" spans="1:5" ht="14.25" customHeight="1" x14ac:dyDescent="0.35">
      <c r="A86" s="17">
        <v>18346721.859999999</v>
      </c>
      <c r="B86" s="17">
        <v>27520082.800000001</v>
      </c>
      <c r="C86" s="17">
        <v>3802980.99</v>
      </c>
      <c r="D86" s="3">
        <v>0.31</v>
      </c>
      <c r="E86" s="17">
        <v>18346721.859999999</v>
      </c>
    </row>
    <row r="87" spans="1:5" ht="14.25" customHeight="1" x14ac:dyDescent="0.35">
      <c r="A87" s="17">
        <v>27520082.800000001</v>
      </c>
      <c r="B87" s="17" t="s">
        <v>63</v>
      </c>
      <c r="C87" s="17">
        <v>6646722.8799999999</v>
      </c>
      <c r="D87" s="3">
        <v>0.35</v>
      </c>
      <c r="E87" s="17">
        <v>27520082.800000001</v>
      </c>
    </row>
    <row r="88" spans="1:5" ht="14.25" customHeight="1" x14ac:dyDescent="0.35">
      <c r="A88" s="2">
        <f t="shared" ref="A88:C88" si="6">+A78+1</f>
        <v>8</v>
      </c>
      <c r="B88" s="2">
        <f t="shared" si="6"/>
        <v>8</v>
      </c>
      <c r="C88" s="2">
        <f t="shared" si="6"/>
        <v>8</v>
      </c>
      <c r="D88" s="3"/>
      <c r="E88" s="2">
        <f>+E78+1</f>
        <v>8</v>
      </c>
    </row>
    <row r="89" spans="1:5" ht="14.25" customHeight="1" x14ac:dyDescent="0.35">
      <c r="A89" s="17">
        <v>0</v>
      </c>
      <c r="B89" s="17">
        <v>1051836.08</v>
      </c>
      <c r="C89" s="17">
        <v>0</v>
      </c>
      <c r="D89" s="3">
        <v>0.05</v>
      </c>
      <c r="E89" s="17">
        <v>0</v>
      </c>
    </row>
    <row r="90" spans="1:5" ht="14.25" customHeight="1" x14ac:dyDescent="0.35">
      <c r="A90" s="17">
        <v>1051836.08</v>
      </c>
      <c r="B90" s="17">
        <v>2103672.15</v>
      </c>
      <c r="C90" s="17">
        <v>52591.8</v>
      </c>
      <c r="D90" s="3">
        <v>0.09</v>
      </c>
      <c r="E90" s="17">
        <v>1051836.08</v>
      </c>
    </row>
    <row r="91" spans="1:5" ht="14.25" customHeight="1" x14ac:dyDescent="0.35">
      <c r="A91" s="17">
        <v>2103672.15</v>
      </c>
      <c r="B91" s="17">
        <v>3155508.23</v>
      </c>
      <c r="C91" s="17">
        <v>147257.04999999999</v>
      </c>
      <c r="D91" s="3">
        <v>0.12</v>
      </c>
      <c r="E91" s="17">
        <v>2103672.15</v>
      </c>
    </row>
    <row r="92" spans="1:5" ht="14.25" customHeight="1" x14ac:dyDescent="0.35">
      <c r="A92" s="17">
        <v>3155508.23</v>
      </c>
      <c r="B92" s="17">
        <v>4733262.3499999996</v>
      </c>
      <c r="C92" s="17">
        <v>273477.38</v>
      </c>
      <c r="D92" s="3">
        <v>0.15</v>
      </c>
      <c r="E92" s="17">
        <v>3155508.23</v>
      </c>
    </row>
    <row r="93" spans="1:5" ht="14.25" customHeight="1" x14ac:dyDescent="0.35">
      <c r="A93" s="17">
        <v>4733262.3499999996</v>
      </c>
      <c r="B93" s="17">
        <v>9466524.6899999995</v>
      </c>
      <c r="C93" s="17">
        <v>510140.5</v>
      </c>
      <c r="D93" s="3">
        <v>0.19</v>
      </c>
      <c r="E93" s="17">
        <v>4733262.3499999996</v>
      </c>
    </row>
    <row r="94" spans="1:5" ht="14.25" customHeight="1" x14ac:dyDescent="0.35">
      <c r="A94" s="17">
        <v>9466524.6899999995</v>
      </c>
      <c r="B94" s="17">
        <v>14199787.039999999</v>
      </c>
      <c r="C94" s="17">
        <v>1409460.34</v>
      </c>
      <c r="D94" s="3">
        <v>0.23</v>
      </c>
      <c r="E94" s="17">
        <v>9466524.6899999995</v>
      </c>
    </row>
    <row r="95" spans="1:5" ht="14.25" customHeight="1" x14ac:dyDescent="0.35">
      <c r="A95" s="17">
        <v>14199787.039999999</v>
      </c>
      <c r="B95" s="17">
        <v>21299680.559999999</v>
      </c>
      <c r="C95" s="17">
        <v>2498110.6800000002</v>
      </c>
      <c r="D95" s="3">
        <v>0.27</v>
      </c>
      <c r="E95" s="17">
        <v>14199787.039999999</v>
      </c>
    </row>
    <row r="96" spans="1:5" ht="14.25" customHeight="1" x14ac:dyDescent="0.35">
      <c r="A96" s="17">
        <v>21299680.559999999</v>
      </c>
      <c r="B96" s="17">
        <v>31949520.850000001</v>
      </c>
      <c r="C96" s="17">
        <v>4415081.93</v>
      </c>
      <c r="D96" s="3">
        <v>0.31</v>
      </c>
      <c r="E96" s="17">
        <v>21299680.559999999</v>
      </c>
    </row>
    <row r="97" spans="1:5" ht="14.25" customHeight="1" x14ac:dyDescent="0.35">
      <c r="A97" s="17">
        <v>31949520.850000001</v>
      </c>
      <c r="B97" s="17" t="s">
        <v>63</v>
      </c>
      <c r="C97" s="17">
        <v>7716532.4199999999</v>
      </c>
      <c r="D97" s="3">
        <v>0.35</v>
      </c>
      <c r="E97" s="17">
        <v>31949520.850000001</v>
      </c>
    </row>
    <row r="98" spans="1:5" ht="14.25" customHeight="1" x14ac:dyDescent="0.35">
      <c r="A98" s="2">
        <f t="shared" ref="A98:C98" si="7">+A88+1</f>
        <v>9</v>
      </c>
      <c r="B98" s="2">
        <f t="shared" si="7"/>
        <v>9</v>
      </c>
      <c r="C98" s="2">
        <f t="shared" si="7"/>
        <v>9</v>
      </c>
      <c r="D98" s="3"/>
      <c r="E98" s="2">
        <f>+E88+1</f>
        <v>9</v>
      </c>
    </row>
    <row r="99" spans="1:5" ht="14.25" customHeight="1" x14ac:dyDescent="0.35">
      <c r="A99" s="18">
        <v>0</v>
      </c>
      <c r="B99" s="19">
        <v>1197661.2</v>
      </c>
      <c r="C99" s="18">
        <v>0</v>
      </c>
      <c r="D99" s="20">
        <v>0.05</v>
      </c>
      <c r="E99" s="18">
        <v>0</v>
      </c>
    </row>
    <row r="100" spans="1:5" ht="14.25" customHeight="1" x14ac:dyDescent="0.35">
      <c r="A100" s="19">
        <v>1197661.2</v>
      </c>
      <c r="B100" s="19">
        <v>2395322.39</v>
      </c>
      <c r="C100" s="19">
        <v>59883.06</v>
      </c>
      <c r="D100" s="20">
        <v>0.09</v>
      </c>
      <c r="E100" s="19">
        <v>1197661.2</v>
      </c>
    </row>
    <row r="101" spans="1:5" ht="14.25" customHeight="1" x14ac:dyDescent="0.35">
      <c r="A101" s="19">
        <v>2395322.39</v>
      </c>
      <c r="B101" s="19">
        <v>3592983.59</v>
      </c>
      <c r="C101" s="19">
        <v>167672.57</v>
      </c>
      <c r="D101" s="20">
        <v>0.12</v>
      </c>
      <c r="E101" s="19">
        <v>2395322.39</v>
      </c>
    </row>
    <row r="102" spans="1:5" ht="14.25" customHeight="1" x14ac:dyDescent="0.35">
      <c r="A102" s="19">
        <v>3592983.59</v>
      </c>
      <c r="B102" s="19">
        <v>5389475.3899999997</v>
      </c>
      <c r="C102" s="19">
        <v>311391.90999999997</v>
      </c>
      <c r="D102" s="20">
        <v>0.15</v>
      </c>
      <c r="E102" s="19">
        <v>3592983.59</v>
      </c>
    </row>
    <row r="103" spans="1:5" ht="14.25" customHeight="1" x14ac:dyDescent="0.35">
      <c r="A103" s="19">
        <v>5389475.3899999997</v>
      </c>
      <c r="B103" s="19">
        <v>10778950.779999999</v>
      </c>
      <c r="C103" s="19">
        <v>580865.68000000005</v>
      </c>
      <c r="D103" s="20">
        <v>0.19</v>
      </c>
      <c r="E103" s="19">
        <v>5389475.3899999997</v>
      </c>
    </row>
    <row r="104" spans="1:5" ht="14.25" customHeight="1" x14ac:dyDescent="0.35">
      <c r="A104" s="19">
        <v>10778950.779999999</v>
      </c>
      <c r="B104" s="19">
        <v>16168426.17</v>
      </c>
      <c r="C104" s="19">
        <v>1604866.01</v>
      </c>
      <c r="D104" s="20">
        <v>0.23</v>
      </c>
      <c r="E104" s="19">
        <v>10778950.779999999</v>
      </c>
    </row>
    <row r="105" spans="1:5" ht="14.25" customHeight="1" x14ac:dyDescent="0.35">
      <c r="A105" s="19">
        <v>16168426.17</v>
      </c>
      <c r="B105" s="19">
        <v>24252639.25</v>
      </c>
      <c r="C105" s="19">
        <v>2844445.34</v>
      </c>
      <c r="D105" s="20">
        <v>0.27</v>
      </c>
      <c r="E105" s="19">
        <v>16168426.17</v>
      </c>
    </row>
    <row r="106" spans="1:5" ht="14.25" customHeight="1" x14ac:dyDescent="0.35">
      <c r="A106" s="19">
        <v>24252639.25</v>
      </c>
      <c r="B106" s="19">
        <v>36378958.890000001</v>
      </c>
      <c r="C106" s="19">
        <v>5027182.88</v>
      </c>
      <c r="D106" s="20">
        <v>0.31</v>
      </c>
      <c r="E106" s="19">
        <v>24252639.25</v>
      </c>
    </row>
    <row r="107" spans="1:5" ht="14.25" customHeight="1" x14ac:dyDescent="0.35">
      <c r="A107" s="19">
        <v>36378958.890000001</v>
      </c>
      <c r="B107" s="18" t="s">
        <v>63</v>
      </c>
      <c r="C107" s="19">
        <v>8786341.9600000009</v>
      </c>
      <c r="D107" s="20">
        <v>0.35</v>
      </c>
      <c r="E107" s="19">
        <v>36378958.890000001</v>
      </c>
    </row>
    <row r="108" spans="1:5" ht="14.25" customHeight="1" thickBot="1" x14ac:dyDescent="0.4">
      <c r="A108" s="2">
        <f t="shared" ref="A108:C108" si="8">+A98+1</f>
        <v>10</v>
      </c>
      <c r="B108" s="2">
        <f t="shared" si="8"/>
        <v>10</v>
      </c>
      <c r="C108" s="2">
        <f t="shared" si="8"/>
        <v>10</v>
      </c>
      <c r="D108" s="3"/>
      <c r="E108" s="2">
        <f>+E98+1</f>
        <v>10</v>
      </c>
    </row>
    <row r="109" spans="1:5" ht="14.25" customHeight="1" thickBot="1" x14ac:dyDescent="0.4">
      <c r="A109" s="21">
        <v>0</v>
      </c>
      <c r="B109" s="22">
        <v>1343486.32</v>
      </c>
      <c r="C109" s="21">
        <v>0</v>
      </c>
      <c r="D109" s="23">
        <v>0.05</v>
      </c>
      <c r="E109" s="24">
        <v>0</v>
      </c>
    </row>
    <row r="110" spans="1:5" ht="14.25" customHeight="1" thickBot="1" x14ac:dyDescent="0.4">
      <c r="A110" s="22">
        <v>1343486.32</v>
      </c>
      <c r="B110" s="22">
        <v>2686972.63</v>
      </c>
      <c r="C110" s="22">
        <v>67174.320000000007</v>
      </c>
      <c r="D110" s="25">
        <v>0.09</v>
      </c>
      <c r="E110" s="26">
        <v>1343486.32</v>
      </c>
    </row>
    <row r="111" spans="1:5" ht="14.25" customHeight="1" thickBot="1" x14ac:dyDescent="0.4">
      <c r="A111" s="22">
        <v>2686972.63</v>
      </c>
      <c r="B111" s="22">
        <v>4030458.95</v>
      </c>
      <c r="C111" s="22">
        <v>188088.08</v>
      </c>
      <c r="D111" s="25">
        <v>0.12</v>
      </c>
      <c r="E111" s="26">
        <v>2686972.63</v>
      </c>
    </row>
    <row r="112" spans="1:5" ht="14.25" customHeight="1" thickBot="1" x14ac:dyDescent="0.4">
      <c r="A112" s="22">
        <v>4030458.95</v>
      </c>
      <c r="B112" s="22">
        <v>6045688.4299999997</v>
      </c>
      <c r="C112" s="22">
        <v>349306.44</v>
      </c>
      <c r="D112" s="25">
        <v>0.15</v>
      </c>
      <c r="E112" s="26">
        <v>4030458.95</v>
      </c>
    </row>
    <row r="113" spans="1:5" ht="14.25" customHeight="1" thickBot="1" x14ac:dyDescent="0.4">
      <c r="A113" s="22">
        <v>6045688.4299999997</v>
      </c>
      <c r="B113" s="22">
        <v>12091376.869999999</v>
      </c>
      <c r="C113" s="22">
        <v>651590.86</v>
      </c>
      <c r="D113" s="25">
        <v>0.19</v>
      </c>
      <c r="E113" s="26">
        <v>6045688.4299999997</v>
      </c>
    </row>
    <row r="114" spans="1:5" ht="14.25" customHeight="1" thickBot="1" x14ac:dyDescent="0.4">
      <c r="A114" s="22">
        <v>12091376.869999999</v>
      </c>
      <c r="B114" s="22">
        <v>18137065.300000001</v>
      </c>
      <c r="C114" s="22">
        <v>1800271.67</v>
      </c>
      <c r="D114" s="25">
        <v>0.23</v>
      </c>
      <c r="E114" s="26">
        <v>12091376.869999999</v>
      </c>
    </row>
    <row r="115" spans="1:5" ht="14.25" customHeight="1" thickBot="1" x14ac:dyDescent="0.4">
      <c r="A115" s="22">
        <v>18137065.300000001</v>
      </c>
      <c r="B115" s="22">
        <v>27205597.949999999</v>
      </c>
      <c r="C115" s="22">
        <v>3190780.01</v>
      </c>
      <c r="D115" s="25">
        <v>0.27</v>
      </c>
      <c r="E115" s="26">
        <v>18137065.300000001</v>
      </c>
    </row>
    <row r="116" spans="1:5" ht="14.25" customHeight="1" thickBot="1" x14ac:dyDescent="0.4">
      <c r="A116" s="22">
        <v>27205597.949999999</v>
      </c>
      <c r="B116" s="22">
        <v>40808396.93</v>
      </c>
      <c r="C116" s="22">
        <v>5639283.8200000003</v>
      </c>
      <c r="D116" s="25">
        <v>0.31</v>
      </c>
      <c r="E116" s="26">
        <v>27205597.949999999</v>
      </c>
    </row>
    <row r="117" spans="1:5" ht="14.25" customHeight="1" thickBot="1" x14ac:dyDescent="0.4">
      <c r="A117" s="22">
        <v>40808396.93</v>
      </c>
      <c r="B117" s="27" t="s">
        <v>63</v>
      </c>
      <c r="C117" s="22">
        <v>9856151.5099999998</v>
      </c>
      <c r="D117" s="28">
        <v>0.35</v>
      </c>
      <c r="E117" s="26">
        <v>40808396.93</v>
      </c>
    </row>
    <row r="118" spans="1:5" ht="14.25" customHeight="1" thickBot="1" x14ac:dyDescent="0.4">
      <c r="A118" s="2">
        <f t="shared" ref="A118:C118" si="9">+A108+1</f>
        <v>11</v>
      </c>
      <c r="B118" s="2">
        <f t="shared" si="9"/>
        <v>11</v>
      </c>
      <c r="C118" s="2">
        <f t="shared" si="9"/>
        <v>11</v>
      </c>
      <c r="D118" s="3"/>
      <c r="E118" s="2">
        <f>+E108+1</f>
        <v>11</v>
      </c>
    </row>
    <row r="119" spans="1:5" ht="14.25" customHeight="1" thickBot="1" x14ac:dyDescent="0.4">
      <c r="A119" s="29">
        <v>0</v>
      </c>
      <c r="B119" s="30">
        <v>1489311.44</v>
      </c>
      <c r="C119" s="29">
        <v>0</v>
      </c>
      <c r="D119" s="31">
        <v>0.05</v>
      </c>
      <c r="E119" s="29">
        <v>0</v>
      </c>
    </row>
    <row r="120" spans="1:5" ht="14.25" customHeight="1" thickBot="1" x14ac:dyDescent="0.4">
      <c r="A120" s="30">
        <v>1489311.44</v>
      </c>
      <c r="B120" s="30">
        <v>2978622.88</v>
      </c>
      <c r="C120" s="30">
        <v>74465.570000000007</v>
      </c>
      <c r="D120" s="32">
        <v>0.09</v>
      </c>
      <c r="E120" s="30">
        <v>1489311.44</v>
      </c>
    </row>
    <row r="121" spans="1:5" ht="14.25" customHeight="1" thickBot="1" x14ac:dyDescent="0.4">
      <c r="A121" s="30">
        <v>2978622.88</v>
      </c>
      <c r="B121" s="30">
        <v>4467934.3099999996</v>
      </c>
      <c r="C121" s="30">
        <v>208503.6</v>
      </c>
      <c r="D121" s="32">
        <v>0.12</v>
      </c>
      <c r="E121" s="30">
        <v>2978622.88</v>
      </c>
    </row>
    <row r="122" spans="1:5" ht="14.25" customHeight="1" thickBot="1" x14ac:dyDescent="0.4">
      <c r="A122" s="30">
        <v>4467934.3099999996</v>
      </c>
      <c r="B122" s="30">
        <v>6701901.4800000004</v>
      </c>
      <c r="C122" s="30">
        <v>387220.97</v>
      </c>
      <c r="D122" s="32">
        <v>0.15</v>
      </c>
      <c r="E122" s="30">
        <v>4467934.3099999996</v>
      </c>
    </row>
    <row r="123" spans="1:5" ht="14.25" customHeight="1" thickBot="1" x14ac:dyDescent="0.4">
      <c r="A123" s="30">
        <v>6701901.4800000004</v>
      </c>
      <c r="B123" s="30">
        <v>13403802.949999999</v>
      </c>
      <c r="C123" s="30">
        <v>722316.05</v>
      </c>
      <c r="D123" s="32">
        <v>0.19</v>
      </c>
      <c r="E123" s="30">
        <v>6701901.4800000004</v>
      </c>
    </row>
    <row r="124" spans="1:5" ht="14.25" customHeight="1" thickBot="1" x14ac:dyDescent="0.4">
      <c r="A124" s="30">
        <v>13403802.949999999</v>
      </c>
      <c r="B124" s="30">
        <v>20105704.43</v>
      </c>
      <c r="C124" s="30">
        <v>1995677.33</v>
      </c>
      <c r="D124" s="32">
        <v>0.23</v>
      </c>
      <c r="E124" s="30">
        <v>13403802.949999999</v>
      </c>
    </row>
    <row r="125" spans="1:5" ht="14.25" customHeight="1" thickBot="1" x14ac:dyDescent="0.4">
      <c r="A125" s="30">
        <v>20105704.43</v>
      </c>
      <c r="B125" s="30">
        <v>30158556.640000001</v>
      </c>
      <c r="C125" s="30">
        <v>3537114.67</v>
      </c>
      <c r="D125" s="32">
        <v>0.27</v>
      </c>
      <c r="E125" s="30">
        <v>20105704.43</v>
      </c>
    </row>
    <row r="126" spans="1:5" ht="14.25" customHeight="1" thickBot="1" x14ac:dyDescent="0.4">
      <c r="A126" s="30">
        <v>30158556.640000001</v>
      </c>
      <c r="B126" s="30">
        <v>45237834.979999997</v>
      </c>
      <c r="C126" s="30">
        <v>6251384.7699999996</v>
      </c>
      <c r="D126" s="32">
        <v>0.31</v>
      </c>
      <c r="E126" s="30">
        <v>30158556.640000001</v>
      </c>
    </row>
    <row r="127" spans="1:5" ht="14.25" customHeight="1" thickBot="1" x14ac:dyDescent="0.4">
      <c r="A127" s="30">
        <v>45237834.979999997</v>
      </c>
      <c r="B127" s="33" t="s">
        <v>63</v>
      </c>
      <c r="C127" s="30">
        <v>10925961.050000001</v>
      </c>
      <c r="D127" s="34">
        <v>0.35</v>
      </c>
      <c r="E127" s="30">
        <v>45237834.979999997</v>
      </c>
    </row>
    <row r="128" spans="1:5" ht="14.25" customHeight="1" thickBot="1" x14ac:dyDescent="0.4">
      <c r="A128" s="2">
        <f t="shared" ref="A128:C128" si="10">+A118+1</f>
        <v>12</v>
      </c>
      <c r="B128" s="2">
        <f t="shared" si="10"/>
        <v>12</v>
      </c>
      <c r="C128" s="2">
        <f t="shared" si="10"/>
        <v>12</v>
      </c>
      <c r="D128" s="3"/>
      <c r="E128" s="2">
        <f>+E118+1</f>
        <v>12</v>
      </c>
    </row>
    <row r="129" spans="1:5" ht="14.25" customHeight="1" thickBot="1" x14ac:dyDescent="0.4">
      <c r="A129" s="21">
        <v>0</v>
      </c>
      <c r="B129" s="22">
        <v>1635136.56</v>
      </c>
      <c r="C129" s="21">
        <v>0</v>
      </c>
      <c r="D129" s="23">
        <v>0.05</v>
      </c>
      <c r="E129" s="24">
        <v>0</v>
      </c>
    </row>
    <row r="130" spans="1:5" ht="14.25" customHeight="1" thickBot="1" x14ac:dyDescent="0.4">
      <c r="A130" s="22">
        <v>1635136.56</v>
      </c>
      <c r="B130" s="22">
        <v>3270273.12</v>
      </c>
      <c r="C130" s="22">
        <v>81756.83</v>
      </c>
      <c r="D130" s="25">
        <v>0.09</v>
      </c>
      <c r="E130" s="26">
        <v>1635136.56</v>
      </c>
    </row>
    <row r="131" spans="1:5" ht="14.25" customHeight="1" thickBot="1" x14ac:dyDescent="0.4">
      <c r="A131" s="22">
        <v>3270273.12</v>
      </c>
      <c r="B131" s="22">
        <v>4905409.68</v>
      </c>
      <c r="C131" s="22">
        <v>228919.12</v>
      </c>
      <c r="D131" s="25">
        <v>0.12</v>
      </c>
      <c r="E131" s="26">
        <v>3270273.12</v>
      </c>
    </row>
    <row r="132" spans="1:5" ht="14.25" customHeight="1" thickBot="1" x14ac:dyDescent="0.4">
      <c r="A132" s="22">
        <v>4905409.68</v>
      </c>
      <c r="B132" s="22">
        <v>7358114.5199999996</v>
      </c>
      <c r="C132" s="22">
        <v>425135.51</v>
      </c>
      <c r="D132" s="25">
        <v>0.15</v>
      </c>
      <c r="E132" s="26">
        <v>4905409.68</v>
      </c>
    </row>
    <row r="133" spans="1:5" ht="14.25" customHeight="1" thickBot="1" x14ac:dyDescent="0.4">
      <c r="A133" s="22">
        <v>7358114.5199999996</v>
      </c>
      <c r="B133" s="22">
        <v>14716229.039999999</v>
      </c>
      <c r="C133" s="22">
        <v>793041.23</v>
      </c>
      <c r="D133" s="25">
        <v>0.19</v>
      </c>
      <c r="E133" s="26">
        <v>7358114.5199999996</v>
      </c>
    </row>
    <row r="134" spans="1:5" ht="14.25" customHeight="1" thickBot="1" x14ac:dyDescent="0.4">
      <c r="A134" s="22">
        <v>14716229.039999999</v>
      </c>
      <c r="B134" s="22">
        <v>22074343.559999999</v>
      </c>
      <c r="C134" s="22">
        <v>2191082.9900000002</v>
      </c>
      <c r="D134" s="25">
        <v>0.23</v>
      </c>
      <c r="E134" s="26">
        <v>14716229.039999999</v>
      </c>
    </row>
    <row r="135" spans="1:5" ht="14.25" customHeight="1" thickBot="1" x14ac:dyDescent="0.4">
      <c r="A135" s="22">
        <v>22074343.559999999</v>
      </c>
      <c r="B135" s="22">
        <v>33111515.34</v>
      </c>
      <c r="C135" s="22">
        <v>3883449.33</v>
      </c>
      <c r="D135" s="25">
        <v>0.27</v>
      </c>
      <c r="E135" s="26">
        <v>22074343.559999999</v>
      </c>
    </row>
    <row r="136" spans="1:5" ht="14.25" customHeight="1" thickBot="1" x14ac:dyDescent="0.4">
      <c r="A136" s="22">
        <v>33111515.34</v>
      </c>
      <c r="B136" s="22">
        <v>49667273.020000003</v>
      </c>
      <c r="C136" s="22">
        <v>6863485.71</v>
      </c>
      <c r="D136" s="25">
        <v>0.31</v>
      </c>
      <c r="E136" s="26">
        <v>33111515.34</v>
      </c>
    </row>
    <row r="137" spans="1:5" ht="14.25" customHeight="1" thickBot="1" x14ac:dyDescent="0.4">
      <c r="A137" s="22">
        <v>49667273.020000003</v>
      </c>
      <c r="B137" s="27" t="s">
        <v>63</v>
      </c>
      <c r="C137" s="22">
        <v>11995770.59</v>
      </c>
      <c r="D137" s="28">
        <v>0.35</v>
      </c>
      <c r="E137" s="26">
        <v>49667273.020000003</v>
      </c>
    </row>
    <row r="138" spans="1:5" ht="14.25" customHeight="1" x14ac:dyDescent="0.35">
      <c r="A138" s="2"/>
      <c r="B138" s="2"/>
      <c r="C138" s="2"/>
      <c r="D138" s="4"/>
      <c r="E138" s="2"/>
    </row>
    <row r="139" spans="1:5" ht="14.25" customHeight="1" x14ac:dyDescent="0.35">
      <c r="A139" s="2"/>
      <c r="B139" s="2"/>
      <c r="C139" s="2"/>
      <c r="D139" s="4"/>
      <c r="E139" s="4"/>
    </row>
    <row r="140" spans="1:5" ht="14.25" customHeight="1" x14ac:dyDescent="0.35">
      <c r="A140" s="2"/>
      <c r="B140" s="2"/>
      <c r="C140" s="2"/>
      <c r="D140" s="4"/>
      <c r="E140" s="4"/>
    </row>
    <row r="141" spans="1:5" ht="14.25" customHeight="1" x14ac:dyDescent="0.35">
      <c r="A141" s="2"/>
      <c r="B141" s="2"/>
      <c r="C141" s="2"/>
      <c r="D141" s="4"/>
      <c r="E141" s="4"/>
    </row>
    <row r="142" spans="1:5" ht="14.25" customHeight="1" x14ac:dyDescent="0.35">
      <c r="A142" s="2"/>
      <c r="B142" s="2"/>
      <c r="C142" s="2"/>
      <c r="D142" s="4"/>
      <c r="E142" s="4"/>
    </row>
    <row r="143" spans="1:5" ht="14.25" customHeight="1" x14ac:dyDescent="0.35">
      <c r="A143" s="2"/>
      <c r="B143" s="2"/>
      <c r="C143" s="2"/>
      <c r="D143" s="4"/>
      <c r="E143" s="4"/>
    </row>
    <row r="144" spans="1:5" ht="14.25" customHeight="1" x14ac:dyDescent="0.35">
      <c r="A144" s="2"/>
      <c r="B144" s="2"/>
      <c r="C144" s="2"/>
      <c r="D144" s="4"/>
      <c r="E144" s="4"/>
    </row>
    <row r="145" spans="1:5" ht="14.25" customHeight="1" x14ac:dyDescent="0.35">
      <c r="A145" s="2"/>
      <c r="B145" s="2"/>
      <c r="C145" s="2"/>
      <c r="D145" s="4"/>
      <c r="E145" s="4"/>
    </row>
    <row r="146" spans="1:5" ht="14.25" customHeight="1" x14ac:dyDescent="0.35">
      <c r="A146" s="2"/>
      <c r="B146" s="2"/>
      <c r="C146" s="2"/>
      <c r="D146" s="4"/>
      <c r="E146" s="4"/>
    </row>
    <row r="147" spans="1:5" ht="14.25" customHeight="1" x14ac:dyDescent="0.35">
      <c r="A147" s="2"/>
      <c r="B147" s="2"/>
      <c r="C147" s="2"/>
      <c r="D147" s="4"/>
      <c r="E147" s="4"/>
    </row>
    <row r="148" spans="1:5" ht="14.25" customHeight="1" x14ac:dyDescent="0.35">
      <c r="A148" s="2"/>
      <c r="B148" s="2"/>
      <c r="C148" s="2"/>
      <c r="D148" s="4"/>
      <c r="E148" s="4"/>
    </row>
    <row r="149" spans="1:5" ht="14.25" customHeight="1" x14ac:dyDescent="0.35">
      <c r="A149" s="2"/>
      <c r="B149" s="2"/>
      <c r="C149" s="2"/>
      <c r="D149" s="4"/>
      <c r="E149" s="4"/>
    </row>
    <row r="150" spans="1:5" ht="14.25" customHeight="1" x14ac:dyDescent="0.35">
      <c r="A150" s="2"/>
      <c r="B150" s="2"/>
      <c r="C150" s="2"/>
      <c r="D150" s="4"/>
      <c r="E150" s="4"/>
    </row>
    <row r="151" spans="1:5" ht="14.25" customHeight="1" x14ac:dyDescent="0.35">
      <c r="A151" s="2"/>
      <c r="B151" s="2"/>
      <c r="C151" s="2"/>
      <c r="D151" s="4"/>
      <c r="E151" s="4"/>
    </row>
    <row r="152" spans="1:5" ht="14.25" customHeight="1" x14ac:dyDescent="0.35">
      <c r="A152" s="2"/>
      <c r="B152" s="2"/>
      <c r="C152" s="2"/>
      <c r="D152" s="4"/>
      <c r="E152" s="4"/>
    </row>
    <row r="153" spans="1:5" ht="14.25" customHeight="1" x14ac:dyDescent="0.35">
      <c r="A153" s="2"/>
      <c r="B153" s="2"/>
      <c r="C153" s="2"/>
      <c r="D153" s="4"/>
      <c r="E153" s="4"/>
    </row>
    <row r="154" spans="1:5" ht="14.25" customHeight="1" x14ac:dyDescent="0.35">
      <c r="A154" s="2"/>
      <c r="B154" s="2"/>
      <c r="C154" s="2"/>
      <c r="D154" s="4"/>
      <c r="E154" s="4"/>
    </row>
    <row r="155" spans="1:5" ht="14.25" customHeight="1" x14ac:dyDescent="0.35">
      <c r="A155" s="2"/>
      <c r="B155" s="2"/>
      <c r="C155" s="2"/>
      <c r="D155" s="4"/>
      <c r="E155" s="4"/>
    </row>
    <row r="156" spans="1:5" ht="14.25" customHeight="1" x14ac:dyDescent="0.35">
      <c r="A156" s="2"/>
      <c r="B156" s="2"/>
      <c r="C156" s="2"/>
      <c r="D156" s="4"/>
      <c r="E156" s="4"/>
    </row>
    <row r="157" spans="1:5" ht="14.25" customHeight="1" x14ac:dyDescent="0.35">
      <c r="A157" s="2"/>
      <c r="B157" s="2"/>
      <c r="C157" s="2"/>
      <c r="D157" s="4"/>
      <c r="E157" s="4"/>
    </row>
    <row r="158" spans="1:5" ht="14.25" customHeight="1" x14ac:dyDescent="0.35">
      <c r="A158" s="2"/>
      <c r="B158" s="2"/>
      <c r="C158" s="2"/>
      <c r="D158" s="4"/>
      <c r="E158" s="4"/>
    </row>
    <row r="159" spans="1:5" ht="14.25" customHeight="1" x14ac:dyDescent="0.35">
      <c r="A159" s="2"/>
      <c r="B159" s="2"/>
      <c r="C159" s="2"/>
      <c r="D159" s="4"/>
      <c r="E159" s="4"/>
    </row>
    <row r="160" spans="1:5" ht="14.25" customHeight="1" x14ac:dyDescent="0.35">
      <c r="A160" s="2"/>
      <c r="B160" s="2"/>
      <c r="C160" s="2"/>
      <c r="D160" s="4"/>
      <c r="E160" s="4"/>
    </row>
    <row r="161" spans="1:5" ht="14.25" customHeight="1" x14ac:dyDescent="0.35">
      <c r="A161" s="2"/>
      <c r="B161" s="2"/>
      <c r="C161" s="2"/>
      <c r="D161" s="4"/>
      <c r="E161" s="4"/>
    </row>
    <row r="162" spans="1:5" ht="14.25" customHeight="1" x14ac:dyDescent="0.35">
      <c r="A162" s="2"/>
      <c r="B162" s="2"/>
      <c r="C162" s="2"/>
      <c r="D162" s="4"/>
      <c r="E162" s="4"/>
    </row>
    <row r="163" spans="1:5" ht="14.25" customHeight="1" x14ac:dyDescent="0.35">
      <c r="A163" s="2"/>
      <c r="B163" s="2"/>
      <c r="C163" s="2"/>
      <c r="D163" s="4"/>
      <c r="E163" s="4"/>
    </row>
    <row r="164" spans="1:5" ht="14.25" customHeight="1" x14ac:dyDescent="0.35">
      <c r="A164" s="4"/>
      <c r="B164" s="4"/>
      <c r="C164" s="4"/>
      <c r="D164" s="4"/>
      <c r="E164" s="4"/>
    </row>
    <row r="165" spans="1:5" ht="14.25" customHeight="1" x14ac:dyDescent="0.35">
      <c r="A165" s="4"/>
      <c r="B165" s="4"/>
      <c r="C165" s="4"/>
      <c r="D165" s="4"/>
      <c r="E165" s="4"/>
    </row>
    <row r="166" spans="1:5" ht="14.25" customHeight="1" x14ac:dyDescent="0.35">
      <c r="A166" s="4"/>
      <c r="B166" s="4"/>
      <c r="C166" s="4"/>
      <c r="D166" s="4"/>
      <c r="E166" s="4"/>
    </row>
    <row r="167" spans="1:5" ht="14.25" customHeight="1" x14ac:dyDescent="0.35">
      <c r="A167" s="4"/>
      <c r="B167" s="4"/>
      <c r="C167" s="4"/>
      <c r="D167" s="4"/>
      <c r="E167" s="4"/>
    </row>
    <row r="168" spans="1:5" ht="14.25" customHeight="1" x14ac:dyDescent="0.35">
      <c r="A168" s="4"/>
      <c r="B168" s="4"/>
      <c r="C168" s="4"/>
      <c r="D168" s="4"/>
      <c r="E168" s="4"/>
    </row>
    <row r="169" spans="1:5" ht="14.25" customHeight="1" x14ac:dyDescent="0.35">
      <c r="A169" s="4"/>
      <c r="B169" s="4"/>
      <c r="C169" s="4"/>
      <c r="D169" s="4"/>
      <c r="E169" s="4"/>
    </row>
    <row r="170" spans="1:5" ht="14.25" customHeight="1" x14ac:dyDescent="0.35">
      <c r="A170" s="4"/>
      <c r="B170" s="4"/>
      <c r="C170" s="4"/>
      <c r="D170" s="4"/>
      <c r="E170" s="4"/>
    </row>
    <row r="171" spans="1:5" ht="14.25" customHeight="1" x14ac:dyDescent="0.35">
      <c r="A171" s="4"/>
      <c r="B171" s="4"/>
      <c r="C171" s="4"/>
      <c r="D171" s="4"/>
      <c r="E171" s="4"/>
    </row>
    <row r="172" spans="1:5" ht="14.25" customHeight="1" x14ac:dyDescent="0.35">
      <c r="A172" s="4"/>
      <c r="B172" s="4"/>
      <c r="C172" s="4"/>
      <c r="D172" s="4"/>
      <c r="E172" s="4"/>
    </row>
    <row r="173" spans="1:5" ht="14.25" customHeight="1" x14ac:dyDescent="0.35">
      <c r="A173" s="4"/>
      <c r="B173" s="4"/>
      <c r="C173" s="4"/>
      <c r="D173" s="4"/>
      <c r="E173" s="4"/>
    </row>
    <row r="174" spans="1:5" ht="14.25" customHeight="1" x14ac:dyDescent="0.35">
      <c r="A174" s="4"/>
      <c r="B174" s="4"/>
      <c r="C174" s="4"/>
      <c r="D174" s="4"/>
      <c r="E174" s="4"/>
    </row>
    <row r="175" spans="1:5" ht="14.25" customHeight="1" x14ac:dyDescent="0.35">
      <c r="A175" s="4"/>
      <c r="B175" s="4"/>
      <c r="C175" s="4"/>
      <c r="D175" s="4"/>
      <c r="E175" s="4"/>
    </row>
    <row r="176" spans="1:5" ht="14.25" customHeight="1" x14ac:dyDescent="0.35">
      <c r="A176" s="4"/>
      <c r="B176" s="4"/>
      <c r="C176" s="4"/>
      <c r="D176" s="4"/>
      <c r="E176" s="4"/>
    </row>
    <row r="177" spans="1:5" ht="14.25" customHeight="1" x14ac:dyDescent="0.35">
      <c r="A177" s="4"/>
      <c r="B177" s="4"/>
      <c r="C177" s="4"/>
      <c r="D177" s="4"/>
      <c r="E177" s="4"/>
    </row>
    <row r="178" spans="1:5" ht="14.25" customHeight="1" x14ac:dyDescent="0.35">
      <c r="A178" s="4"/>
      <c r="B178" s="4"/>
      <c r="C178" s="4"/>
      <c r="D178" s="4"/>
      <c r="E178" s="4"/>
    </row>
    <row r="179" spans="1:5" ht="14.25" customHeight="1" x14ac:dyDescent="0.35">
      <c r="A179" s="4"/>
      <c r="B179" s="4"/>
      <c r="C179" s="4"/>
      <c r="D179" s="4"/>
      <c r="E179" s="4"/>
    </row>
    <row r="180" spans="1:5" ht="14.25" customHeight="1" x14ac:dyDescent="0.35">
      <c r="A180" s="4"/>
      <c r="B180" s="4"/>
      <c r="C180" s="4"/>
      <c r="D180" s="4"/>
      <c r="E180" s="4"/>
    </row>
    <row r="181" spans="1:5" ht="14.25" customHeight="1" x14ac:dyDescent="0.35">
      <c r="A181" s="4"/>
      <c r="B181" s="4"/>
      <c r="C181" s="4"/>
      <c r="D181" s="4"/>
      <c r="E181" s="4"/>
    </row>
    <row r="182" spans="1:5" ht="14.25" customHeight="1" x14ac:dyDescent="0.35">
      <c r="A182" s="4"/>
      <c r="B182" s="4"/>
      <c r="C182" s="4"/>
      <c r="D182" s="4"/>
      <c r="E182" s="4"/>
    </row>
    <row r="183" spans="1:5" ht="14.25" customHeight="1" x14ac:dyDescent="0.35">
      <c r="A183" s="4"/>
      <c r="B183" s="4"/>
      <c r="C183" s="4"/>
      <c r="D183" s="4"/>
      <c r="E183" s="4"/>
    </row>
    <row r="184" spans="1:5" ht="14.25" customHeight="1" x14ac:dyDescent="0.35">
      <c r="A184" s="4"/>
      <c r="B184" s="4"/>
      <c r="C184" s="4"/>
      <c r="D184" s="4"/>
      <c r="E184" s="4"/>
    </row>
    <row r="185" spans="1:5" ht="14.25" customHeight="1" x14ac:dyDescent="0.35">
      <c r="A185" s="4"/>
      <c r="B185" s="4"/>
      <c r="C185" s="4"/>
      <c r="D185" s="4"/>
      <c r="E185" s="4"/>
    </row>
    <row r="186" spans="1:5" ht="14.25" customHeight="1" x14ac:dyDescent="0.35">
      <c r="A186" s="4"/>
      <c r="B186" s="4"/>
      <c r="C186" s="4"/>
      <c r="D186" s="4"/>
      <c r="E186" s="4"/>
    </row>
    <row r="187" spans="1:5" ht="14.25" customHeight="1" x14ac:dyDescent="0.35">
      <c r="A187" s="4"/>
      <c r="B187" s="4"/>
      <c r="C187" s="4"/>
      <c r="D187" s="4"/>
      <c r="E187" s="4"/>
    </row>
    <row r="188" spans="1:5" ht="14.25" customHeight="1" x14ac:dyDescent="0.35">
      <c r="A188" s="4"/>
      <c r="B188" s="4"/>
      <c r="C188" s="4"/>
      <c r="D188" s="4"/>
      <c r="E188" s="4"/>
    </row>
    <row r="189" spans="1:5" ht="14.25" customHeight="1" x14ac:dyDescent="0.35">
      <c r="A189" s="4"/>
      <c r="B189" s="4"/>
      <c r="C189" s="4"/>
      <c r="D189" s="4"/>
      <c r="E189" s="4"/>
    </row>
    <row r="190" spans="1:5" ht="14.25" customHeight="1" x14ac:dyDescent="0.35">
      <c r="A190" s="4"/>
      <c r="B190" s="4"/>
      <c r="C190" s="4"/>
      <c r="D190" s="4"/>
      <c r="E190" s="4"/>
    </row>
    <row r="191" spans="1:5" ht="14.25" customHeight="1" x14ac:dyDescent="0.35">
      <c r="A191" s="4"/>
      <c r="B191" s="4"/>
      <c r="C191" s="4"/>
      <c r="D191" s="4"/>
      <c r="E191" s="4"/>
    </row>
    <row r="192" spans="1:5" ht="14.25" customHeight="1" x14ac:dyDescent="0.35">
      <c r="A192" s="4"/>
      <c r="B192" s="4"/>
      <c r="C192" s="4"/>
      <c r="D192" s="4"/>
      <c r="E192" s="4"/>
    </row>
    <row r="193" spans="1:5" ht="14.25" customHeight="1" x14ac:dyDescent="0.35">
      <c r="A193" s="4"/>
      <c r="B193" s="4"/>
      <c r="C193" s="4"/>
      <c r="D193" s="4"/>
      <c r="E193" s="4"/>
    </row>
    <row r="194" spans="1:5" ht="14.25" customHeight="1" x14ac:dyDescent="0.35">
      <c r="A194" s="4"/>
      <c r="B194" s="4"/>
      <c r="C194" s="4"/>
      <c r="D194" s="4"/>
      <c r="E194" s="4"/>
    </row>
    <row r="195" spans="1:5" ht="14.25" customHeight="1" x14ac:dyDescent="0.35">
      <c r="A195" s="4"/>
      <c r="B195" s="4"/>
      <c r="C195" s="4"/>
      <c r="D195" s="4"/>
      <c r="E195" s="4"/>
    </row>
    <row r="196" spans="1:5" ht="14.25" customHeight="1" x14ac:dyDescent="0.35">
      <c r="A196" s="4"/>
      <c r="B196" s="4"/>
      <c r="C196" s="4"/>
      <c r="D196" s="4"/>
      <c r="E196" s="4"/>
    </row>
    <row r="197" spans="1:5" ht="14.25" customHeight="1" x14ac:dyDescent="0.35">
      <c r="A197" s="4"/>
      <c r="B197" s="4"/>
      <c r="C197" s="4"/>
      <c r="D197" s="4"/>
      <c r="E197" s="4"/>
    </row>
    <row r="198" spans="1:5" ht="14.25" customHeight="1" x14ac:dyDescent="0.35">
      <c r="A198" s="4"/>
      <c r="B198" s="4"/>
      <c r="C198" s="4"/>
      <c r="D198" s="4"/>
      <c r="E198" s="4"/>
    </row>
    <row r="199" spans="1:5" ht="14.25" customHeight="1" x14ac:dyDescent="0.35">
      <c r="A199" s="4"/>
      <c r="B199" s="4"/>
      <c r="C199" s="4"/>
      <c r="D199" s="4"/>
      <c r="E199" s="4"/>
    </row>
    <row r="200" spans="1:5" ht="14.25" customHeight="1" x14ac:dyDescent="0.35">
      <c r="A200" s="4"/>
      <c r="B200" s="4"/>
      <c r="C200" s="4"/>
      <c r="D200" s="4"/>
      <c r="E200" s="4"/>
    </row>
    <row r="201" spans="1:5" ht="14.25" customHeight="1" x14ac:dyDescent="0.35">
      <c r="A201" s="4"/>
      <c r="B201" s="4"/>
      <c r="C201" s="4"/>
      <c r="D201" s="4"/>
      <c r="E201" s="4"/>
    </row>
    <row r="202" spans="1:5" ht="14.25" customHeight="1" x14ac:dyDescent="0.35">
      <c r="A202" s="4"/>
      <c r="B202" s="4"/>
      <c r="C202" s="4"/>
      <c r="D202" s="4"/>
      <c r="E202" s="4"/>
    </row>
    <row r="203" spans="1:5" ht="14.25" customHeight="1" x14ac:dyDescent="0.35">
      <c r="A203" s="4"/>
      <c r="B203" s="4"/>
      <c r="C203" s="4"/>
      <c r="D203" s="4"/>
      <c r="E203" s="4"/>
    </row>
    <row r="204" spans="1:5" ht="14.25" customHeight="1" x14ac:dyDescent="0.35">
      <c r="A204" s="4"/>
      <c r="B204" s="4"/>
      <c r="C204" s="4"/>
      <c r="D204" s="4"/>
      <c r="E204" s="4"/>
    </row>
    <row r="205" spans="1:5" ht="14.25" customHeight="1" x14ac:dyDescent="0.35">
      <c r="A205" s="4"/>
      <c r="B205" s="4"/>
      <c r="C205" s="4"/>
      <c r="D205" s="4"/>
      <c r="E205" s="4"/>
    </row>
    <row r="206" spans="1:5" ht="14.25" customHeight="1" x14ac:dyDescent="0.35">
      <c r="A206" s="4"/>
      <c r="B206" s="4"/>
      <c r="C206" s="4"/>
      <c r="D206" s="4"/>
      <c r="E206" s="4"/>
    </row>
    <row r="207" spans="1:5" ht="14.25" customHeight="1" x14ac:dyDescent="0.35">
      <c r="A207" s="4"/>
      <c r="B207" s="4"/>
      <c r="C207" s="4"/>
      <c r="D207" s="4"/>
      <c r="E207" s="4"/>
    </row>
    <row r="208" spans="1:5" ht="14.25" customHeight="1" x14ac:dyDescent="0.35">
      <c r="A208" s="4"/>
      <c r="B208" s="4"/>
      <c r="C208" s="4"/>
      <c r="D208" s="4"/>
      <c r="E208" s="4"/>
    </row>
    <row r="209" spans="1:5" ht="14.25" customHeight="1" x14ac:dyDescent="0.35">
      <c r="A209" s="4"/>
      <c r="B209" s="4"/>
      <c r="C209" s="4"/>
      <c r="D209" s="4"/>
      <c r="E209" s="4"/>
    </row>
    <row r="210" spans="1:5" ht="14.25" customHeight="1" x14ac:dyDescent="0.35">
      <c r="A210" s="4"/>
      <c r="B210" s="4"/>
      <c r="C210" s="4"/>
      <c r="D210" s="4"/>
      <c r="E210" s="4"/>
    </row>
    <row r="211" spans="1:5" ht="14.25" customHeight="1" x14ac:dyDescent="0.35">
      <c r="A211" s="4"/>
      <c r="B211" s="4"/>
      <c r="C211" s="4"/>
      <c r="D211" s="4"/>
      <c r="E211" s="4"/>
    </row>
    <row r="212" spans="1:5" ht="14.25" customHeight="1" x14ac:dyDescent="0.35">
      <c r="A212" s="4"/>
      <c r="B212" s="4"/>
      <c r="C212" s="4"/>
      <c r="D212" s="4"/>
      <c r="E212" s="4"/>
    </row>
    <row r="213" spans="1:5" ht="14.25" customHeight="1" x14ac:dyDescent="0.35">
      <c r="A213" s="4"/>
      <c r="B213" s="4"/>
      <c r="C213" s="4"/>
      <c r="D213" s="4"/>
      <c r="E213" s="4"/>
    </row>
    <row r="214" spans="1:5" ht="14.25" customHeight="1" x14ac:dyDescent="0.35">
      <c r="A214" s="4"/>
      <c r="B214" s="4"/>
      <c r="C214" s="4"/>
      <c r="D214" s="4"/>
      <c r="E214" s="4"/>
    </row>
    <row r="215" spans="1:5" ht="14.25" customHeight="1" x14ac:dyDescent="0.35">
      <c r="A215" s="4"/>
      <c r="B215" s="4"/>
      <c r="C215" s="4"/>
      <c r="D215" s="4"/>
      <c r="E215" s="4"/>
    </row>
    <row r="216" spans="1:5" ht="14.25" customHeight="1" x14ac:dyDescent="0.35">
      <c r="A216" s="4"/>
      <c r="B216" s="4"/>
      <c r="C216" s="4"/>
      <c r="D216" s="4"/>
      <c r="E216" s="4"/>
    </row>
    <row r="217" spans="1:5" ht="14.25" customHeight="1" x14ac:dyDescent="0.35">
      <c r="A217" s="4"/>
      <c r="B217" s="4"/>
      <c r="C217" s="4"/>
      <c r="D217" s="4"/>
      <c r="E217" s="4"/>
    </row>
    <row r="218" spans="1:5" ht="14.25" customHeight="1" x14ac:dyDescent="0.35">
      <c r="A218" s="4"/>
      <c r="B218" s="4"/>
      <c r="C218" s="4"/>
      <c r="D218" s="4"/>
      <c r="E218" s="4"/>
    </row>
    <row r="219" spans="1:5" ht="14.25" customHeight="1" x14ac:dyDescent="0.35">
      <c r="A219" s="4"/>
      <c r="B219" s="4"/>
      <c r="C219" s="4"/>
      <c r="D219" s="4"/>
      <c r="E219" s="4"/>
    </row>
    <row r="220" spans="1:5" ht="14.25" customHeight="1" x14ac:dyDescent="0.35">
      <c r="A220" s="4"/>
      <c r="B220" s="4"/>
      <c r="C220" s="4"/>
      <c r="D220" s="4"/>
      <c r="E220" s="4"/>
    </row>
    <row r="221" spans="1:5" ht="14.25" customHeight="1" x14ac:dyDescent="0.35">
      <c r="A221" s="4"/>
      <c r="B221" s="4"/>
      <c r="C221" s="4"/>
      <c r="D221" s="4"/>
      <c r="E221" s="4"/>
    </row>
    <row r="222" spans="1:5" ht="14.25" customHeight="1" x14ac:dyDescent="0.35">
      <c r="A222" s="4"/>
      <c r="B222" s="4"/>
      <c r="C222" s="4"/>
      <c r="D222" s="4"/>
      <c r="E222" s="4"/>
    </row>
    <row r="223" spans="1:5" ht="14.25" customHeight="1" x14ac:dyDescent="0.35">
      <c r="A223" s="4"/>
      <c r="B223" s="4"/>
      <c r="C223" s="4"/>
      <c r="D223" s="4"/>
      <c r="E223" s="4"/>
    </row>
    <row r="224" spans="1:5" ht="14.25" customHeight="1" x14ac:dyDescent="0.35">
      <c r="A224" s="4"/>
      <c r="B224" s="4"/>
      <c r="C224" s="4"/>
      <c r="D224" s="4"/>
      <c r="E224" s="4"/>
    </row>
    <row r="225" spans="1:5" ht="14.25" customHeight="1" x14ac:dyDescent="0.35">
      <c r="A225" s="4"/>
      <c r="B225" s="4"/>
      <c r="C225" s="4"/>
      <c r="D225" s="4"/>
      <c r="E225" s="4"/>
    </row>
    <row r="226" spans="1:5" ht="14.25" customHeight="1" x14ac:dyDescent="0.35">
      <c r="A226" s="4"/>
      <c r="B226" s="4"/>
      <c r="C226" s="4"/>
      <c r="D226" s="4"/>
      <c r="E226" s="4"/>
    </row>
    <row r="227" spans="1:5" ht="14.25" customHeight="1" x14ac:dyDescent="0.35">
      <c r="A227" s="4"/>
      <c r="B227" s="4"/>
      <c r="C227" s="4"/>
      <c r="D227" s="4"/>
      <c r="E227" s="4"/>
    </row>
    <row r="228" spans="1:5" ht="14.25" customHeight="1" x14ac:dyDescent="0.35">
      <c r="A228" s="4"/>
      <c r="B228" s="4"/>
      <c r="C228" s="4"/>
      <c r="D228" s="4"/>
      <c r="E228" s="4"/>
    </row>
    <row r="229" spans="1:5" ht="14.25" customHeight="1" x14ac:dyDescent="0.35">
      <c r="A229" s="4"/>
      <c r="B229" s="4"/>
      <c r="C229" s="4"/>
      <c r="D229" s="4"/>
      <c r="E229" s="4"/>
    </row>
    <row r="230" spans="1:5" ht="14.25" customHeight="1" x14ac:dyDescent="0.35">
      <c r="A230" s="4"/>
      <c r="B230" s="4"/>
      <c r="C230" s="4"/>
      <c r="D230" s="4"/>
      <c r="E230" s="4"/>
    </row>
    <row r="231" spans="1:5" ht="14.25" customHeight="1" x14ac:dyDescent="0.35">
      <c r="A231" s="4"/>
      <c r="B231" s="4"/>
      <c r="C231" s="4"/>
      <c r="D231" s="4"/>
      <c r="E231" s="4"/>
    </row>
    <row r="232" spans="1:5" ht="14.25" customHeight="1" x14ac:dyDescent="0.35">
      <c r="A232" s="4"/>
      <c r="B232" s="4"/>
      <c r="C232" s="4"/>
      <c r="D232" s="4"/>
      <c r="E232" s="4"/>
    </row>
    <row r="233" spans="1:5" ht="14.25" customHeight="1" x14ac:dyDescent="0.35">
      <c r="A233" s="4"/>
      <c r="B233" s="4"/>
      <c r="C233" s="4"/>
      <c r="D233" s="4"/>
      <c r="E233" s="4"/>
    </row>
    <row r="234" spans="1:5" ht="14.25" customHeight="1" x14ac:dyDescent="0.35">
      <c r="A234" s="4"/>
      <c r="B234" s="4"/>
      <c r="C234" s="4"/>
      <c r="D234" s="4"/>
      <c r="E234" s="4"/>
    </row>
    <row r="235" spans="1:5" ht="14.25" customHeight="1" x14ac:dyDescent="0.35">
      <c r="A235" s="4"/>
      <c r="B235" s="4"/>
      <c r="C235" s="4"/>
      <c r="D235" s="4"/>
      <c r="E235" s="4"/>
    </row>
    <row r="236" spans="1:5" ht="14.25" customHeight="1" x14ac:dyDescent="0.35">
      <c r="A236" s="4"/>
      <c r="B236" s="4"/>
      <c r="C236" s="4"/>
      <c r="D236" s="4"/>
      <c r="E236" s="4"/>
    </row>
    <row r="237" spans="1:5" ht="14.25" customHeight="1" x14ac:dyDescent="0.35">
      <c r="A237" s="4"/>
      <c r="B237" s="4"/>
      <c r="C237" s="4"/>
      <c r="D237" s="4"/>
      <c r="E237" s="4"/>
    </row>
    <row r="238" spans="1:5" ht="14.25" customHeight="1" x14ac:dyDescent="0.35">
      <c r="A238" s="4"/>
      <c r="B238" s="4"/>
      <c r="C238" s="4"/>
      <c r="D238" s="4"/>
      <c r="E238" s="4"/>
    </row>
    <row r="239" spans="1:5" ht="14.25" customHeight="1" x14ac:dyDescent="0.35">
      <c r="A239" s="4"/>
      <c r="B239" s="4"/>
      <c r="C239" s="4"/>
      <c r="D239" s="4"/>
      <c r="E239" s="4"/>
    </row>
    <row r="240" spans="1:5" ht="14.25" customHeight="1" x14ac:dyDescent="0.35">
      <c r="A240" s="4"/>
      <c r="B240" s="4"/>
      <c r="C240" s="4"/>
      <c r="D240" s="4"/>
      <c r="E240" s="4"/>
    </row>
    <row r="241" spans="1:5" ht="14.25" customHeight="1" x14ac:dyDescent="0.35">
      <c r="A241" s="4"/>
      <c r="B241" s="4"/>
      <c r="C241" s="4"/>
      <c r="D241" s="4"/>
      <c r="E241" s="4"/>
    </row>
    <row r="242" spans="1:5" ht="14.25" customHeight="1" x14ac:dyDescent="0.35">
      <c r="A242" s="4"/>
      <c r="B242" s="4"/>
      <c r="C242" s="4"/>
      <c r="D242" s="4"/>
      <c r="E242" s="4"/>
    </row>
    <row r="243" spans="1:5" ht="14.25" customHeight="1" x14ac:dyDescent="0.35">
      <c r="A243" s="4"/>
      <c r="B243" s="4"/>
      <c r="C243" s="4"/>
      <c r="D243" s="4"/>
      <c r="E243" s="4"/>
    </row>
    <row r="244" spans="1:5" ht="14.25" customHeight="1" x14ac:dyDescent="0.35">
      <c r="A244" s="4"/>
      <c r="B244" s="4"/>
      <c r="C244" s="4"/>
      <c r="D244" s="4"/>
      <c r="E244" s="4"/>
    </row>
    <row r="245" spans="1:5" ht="14.25" customHeight="1" x14ac:dyDescent="0.35">
      <c r="A245" s="4"/>
      <c r="B245" s="4"/>
      <c r="C245" s="4"/>
      <c r="D245" s="4"/>
      <c r="E245" s="4"/>
    </row>
    <row r="246" spans="1:5" ht="14.25" customHeight="1" x14ac:dyDescent="0.35">
      <c r="A246" s="4"/>
      <c r="B246" s="4"/>
      <c r="C246" s="4"/>
      <c r="D246" s="4"/>
      <c r="E246" s="4"/>
    </row>
    <row r="247" spans="1:5" ht="14.25" customHeight="1" x14ac:dyDescent="0.35">
      <c r="A247" s="4"/>
      <c r="B247" s="4"/>
      <c r="C247" s="4"/>
      <c r="D247" s="4"/>
      <c r="E247" s="4"/>
    </row>
    <row r="248" spans="1:5" ht="14.25" customHeight="1" x14ac:dyDescent="0.35">
      <c r="A248" s="4"/>
      <c r="B248" s="4"/>
      <c r="C248" s="4"/>
      <c r="D248" s="4"/>
      <c r="E248" s="4"/>
    </row>
    <row r="249" spans="1:5" ht="14.25" customHeight="1" x14ac:dyDescent="0.35">
      <c r="A249" s="4"/>
      <c r="B249" s="4"/>
      <c r="C249" s="4"/>
      <c r="D249" s="4"/>
      <c r="E249" s="4"/>
    </row>
    <row r="250" spans="1:5" ht="14.25" customHeight="1" x14ac:dyDescent="0.35">
      <c r="A250" s="4"/>
      <c r="B250" s="4"/>
      <c r="C250" s="4"/>
      <c r="D250" s="4"/>
      <c r="E250" s="4"/>
    </row>
    <row r="251" spans="1:5" ht="14.25" customHeight="1" x14ac:dyDescent="0.35">
      <c r="A251" s="4"/>
      <c r="B251" s="4"/>
      <c r="C251" s="4"/>
      <c r="D251" s="4"/>
      <c r="E251" s="4"/>
    </row>
    <row r="252" spans="1:5" ht="14.25" customHeight="1" x14ac:dyDescent="0.35">
      <c r="A252" s="4"/>
      <c r="B252" s="4"/>
      <c r="C252" s="4"/>
      <c r="D252" s="4"/>
      <c r="E252" s="4"/>
    </row>
    <row r="253" spans="1:5" ht="14.25" customHeight="1" x14ac:dyDescent="0.35">
      <c r="A253" s="4"/>
      <c r="B253" s="4"/>
      <c r="C253" s="4"/>
      <c r="D253" s="4"/>
      <c r="E253" s="4"/>
    </row>
    <row r="254" spans="1:5" ht="14.25" customHeight="1" x14ac:dyDescent="0.35">
      <c r="A254" s="4"/>
      <c r="B254" s="4"/>
      <c r="C254" s="4"/>
      <c r="D254" s="4"/>
      <c r="E254" s="4"/>
    </row>
    <row r="255" spans="1:5" ht="14.25" customHeight="1" x14ac:dyDescent="0.35">
      <c r="A255" s="4"/>
      <c r="B255" s="4"/>
      <c r="C255" s="4"/>
      <c r="D255" s="4"/>
      <c r="E255" s="4"/>
    </row>
    <row r="256" spans="1:5" ht="14.25" customHeight="1" x14ac:dyDescent="0.35">
      <c r="A256" s="4"/>
      <c r="B256" s="4"/>
      <c r="C256" s="4"/>
      <c r="D256" s="4"/>
      <c r="E256" s="4"/>
    </row>
    <row r="257" spans="1:5" ht="14.25" customHeight="1" x14ac:dyDescent="0.35">
      <c r="A257" s="4"/>
      <c r="B257" s="4"/>
      <c r="C257" s="4"/>
      <c r="D257" s="4"/>
      <c r="E257" s="4"/>
    </row>
    <row r="258" spans="1:5" ht="14.25" customHeight="1" x14ac:dyDescent="0.35">
      <c r="A258" s="4"/>
      <c r="B258" s="4"/>
      <c r="C258" s="4"/>
      <c r="D258" s="4"/>
      <c r="E258" s="4"/>
    </row>
    <row r="259" spans="1:5" ht="14.25" customHeight="1" x14ac:dyDescent="0.35">
      <c r="A259" s="4"/>
      <c r="B259" s="4"/>
      <c r="C259" s="4"/>
      <c r="D259" s="4"/>
      <c r="E259" s="4"/>
    </row>
    <row r="260" spans="1:5" ht="14.25" customHeight="1" x14ac:dyDescent="0.35">
      <c r="A260" s="4"/>
      <c r="B260" s="4"/>
      <c r="C260" s="4"/>
      <c r="D260" s="4"/>
      <c r="E260" s="4"/>
    </row>
    <row r="261" spans="1:5" ht="14.25" customHeight="1" x14ac:dyDescent="0.35">
      <c r="A261" s="4"/>
      <c r="B261" s="4"/>
      <c r="C261" s="4"/>
      <c r="D261" s="4"/>
      <c r="E261" s="4"/>
    </row>
    <row r="262" spans="1:5" ht="14.25" customHeight="1" x14ac:dyDescent="0.35">
      <c r="A262" s="4"/>
      <c r="B262" s="4"/>
      <c r="C262" s="4"/>
      <c r="D262" s="4"/>
      <c r="E262" s="4"/>
    </row>
    <row r="263" spans="1:5" ht="14.25" customHeight="1" x14ac:dyDescent="0.35">
      <c r="A263" s="4"/>
      <c r="B263" s="4"/>
      <c r="C263" s="4"/>
      <c r="D263" s="4"/>
      <c r="E263" s="4"/>
    </row>
    <row r="264" spans="1:5" ht="14.25" customHeight="1" x14ac:dyDescent="0.35">
      <c r="A264" s="4"/>
      <c r="B264" s="4"/>
      <c r="C264" s="4"/>
      <c r="D264" s="4"/>
      <c r="E264" s="4"/>
    </row>
    <row r="265" spans="1:5" ht="14.25" customHeight="1" x14ac:dyDescent="0.35">
      <c r="A265" s="4"/>
      <c r="B265" s="4"/>
      <c r="C265" s="4"/>
      <c r="D265" s="4"/>
      <c r="E265" s="4"/>
    </row>
    <row r="266" spans="1:5" ht="14.25" customHeight="1" x14ac:dyDescent="0.35">
      <c r="A266" s="4"/>
      <c r="B266" s="4"/>
      <c r="C266" s="4"/>
      <c r="D266" s="4"/>
      <c r="E266" s="4"/>
    </row>
    <row r="267" spans="1:5" ht="14.25" customHeight="1" x14ac:dyDescent="0.35">
      <c r="A267" s="4"/>
      <c r="B267" s="4"/>
      <c r="C267" s="4"/>
      <c r="D267" s="4"/>
      <c r="E267" s="4"/>
    </row>
    <row r="268" spans="1:5" ht="14.25" customHeight="1" x14ac:dyDescent="0.35">
      <c r="A268" s="4"/>
      <c r="B268" s="4"/>
      <c r="C268" s="4"/>
      <c r="D268" s="4"/>
      <c r="E268" s="4"/>
    </row>
    <row r="269" spans="1:5" ht="14.25" customHeight="1" x14ac:dyDescent="0.35">
      <c r="A269" s="4"/>
      <c r="B269" s="4"/>
      <c r="C269" s="4"/>
      <c r="D269" s="4"/>
      <c r="E269" s="4"/>
    </row>
    <row r="270" spans="1:5" ht="14.25" customHeight="1" x14ac:dyDescent="0.35">
      <c r="A270" s="4"/>
      <c r="B270" s="4"/>
      <c r="C270" s="4"/>
      <c r="D270" s="4"/>
      <c r="E270" s="4"/>
    </row>
    <row r="271" spans="1:5" ht="14.25" customHeight="1" x14ac:dyDescent="0.35">
      <c r="A271" s="4"/>
      <c r="B271" s="4"/>
      <c r="C271" s="4"/>
      <c r="D271" s="4"/>
      <c r="E271" s="4"/>
    </row>
    <row r="272" spans="1:5" ht="14.25" customHeight="1" x14ac:dyDescent="0.35">
      <c r="A272" s="4"/>
      <c r="B272" s="4"/>
      <c r="C272" s="4"/>
      <c r="D272" s="4"/>
      <c r="E272" s="4"/>
    </row>
    <row r="273" spans="1:5" ht="14.25" customHeight="1" x14ac:dyDescent="0.35">
      <c r="A273" s="4"/>
      <c r="B273" s="4"/>
      <c r="C273" s="4"/>
      <c r="D273" s="4"/>
      <c r="E273" s="4"/>
    </row>
    <row r="274" spans="1:5" ht="14.25" customHeight="1" x14ac:dyDescent="0.35">
      <c r="A274" s="4"/>
      <c r="B274" s="4"/>
      <c r="C274" s="4"/>
      <c r="D274" s="4"/>
      <c r="E274" s="4"/>
    </row>
    <row r="275" spans="1:5" ht="14.25" customHeight="1" x14ac:dyDescent="0.35">
      <c r="A275" s="4"/>
      <c r="B275" s="4"/>
      <c r="C275" s="4"/>
      <c r="D275" s="4"/>
      <c r="E275" s="4"/>
    </row>
    <row r="276" spans="1:5" ht="14.25" customHeight="1" x14ac:dyDescent="0.35">
      <c r="A276" s="4"/>
      <c r="B276" s="4"/>
      <c r="C276" s="4"/>
      <c r="D276" s="4"/>
      <c r="E276" s="4"/>
    </row>
    <row r="277" spans="1:5" ht="14.25" customHeight="1" x14ac:dyDescent="0.35">
      <c r="A277" s="4"/>
      <c r="B277" s="4"/>
      <c r="C277" s="4"/>
      <c r="D277" s="4"/>
      <c r="E277" s="4"/>
    </row>
    <row r="278" spans="1:5" ht="14.25" customHeight="1" x14ac:dyDescent="0.35">
      <c r="A278" s="4"/>
      <c r="B278" s="4"/>
      <c r="C278" s="4"/>
      <c r="D278" s="4"/>
      <c r="E278" s="4"/>
    </row>
    <row r="279" spans="1:5" ht="14.25" customHeight="1" x14ac:dyDescent="0.35">
      <c r="A279" s="4"/>
      <c r="B279" s="4"/>
      <c r="C279" s="4"/>
      <c r="D279" s="4"/>
      <c r="E279" s="4"/>
    </row>
    <row r="280" spans="1:5" ht="14.25" customHeight="1" x14ac:dyDescent="0.35">
      <c r="A280" s="4"/>
      <c r="B280" s="4"/>
      <c r="C280" s="4"/>
      <c r="D280" s="4"/>
      <c r="E280" s="4"/>
    </row>
    <row r="281" spans="1:5" ht="14.25" customHeight="1" x14ac:dyDescent="0.35">
      <c r="A281" s="4"/>
      <c r="B281" s="4"/>
      <c r="C281" s="4"/>
      <c r="D281" s="4"/>
      <c r="E281" s="4"/>
    </row>
    <row r="282" spans="1:5" ht="14.25" customHeight="1" x14ac:dyDescent="0.35">
      <c r="A282" s="4"/>
      <c r="B282" s="4"/>
      <c r="C282" s="4"/>
      <c r="D282" s="4"/>
      <c r="E282" s="4"/>
    </row>
    <row r="283" spans="1:5" ht="14.25" customHeight="1" x14ac:dyDescent="0.35">
      <c r="A283" s="4"/>
      <c r="B283" s="4"/>
      <c r="C283" s="4"/>
      <c r="D283" s="4"/>
      <c r="E283" s="4"/>
    </row>
    <row r="284" spans="1:5" ht="14.25" customHeight="1" x14ac:dyDescent="0.35">
      <c r="A284" s="4"/>
      <c r="B284" s="4"/>
      <c r="C284" s="4"/>
      <c r="D284" s="4"/>
      <c r="E284" s="4"/>
    </row>
    <row r="285" spans="1:5" ht="14.25" customHeight="1" x14ac:dyDescent="0.35">
      <c r="A285" s="4"/>
      <c r="B285" s="4"/>
      <c r="C285" s="4"/>
      <c r="D285" s="4"/>
      <c r="E285" s="4"/>
    </row>
    <row r="286" spans="1:5" ht="14.25" customHeight="1" x14ac:dyDescent="0.35">
      <c r="A286" s="4"/>
      <c r="B286" s="4"/>
      <c r="C286" s="4"/>
      <c r="D286" s="4"/>
      <c r="E286" s="4"/>
    </row>
    <row r="287" spans="1:5" ht="14.25" customHeight="1" x14ac:dyDescent="0.35">
      <c r="A287" s="4"/>
      <c r="B287" s="4"/>
      <c r="C287" s="4"/>
      <c r="D287" s="4"/>
      <c r="E287" s="4"/>
    </row>
    <row r="288" spans="1:5" ht="14.25" customHeight="1" x14ac:dyDescent="0.35">
      <c r="A288" s="4"/>
      <c r="B288" s="4"/>
      <c r="C288" s="4"/>
      <c r="D288" s="4"/>
      <c r="E288" s="4"/>
    </row>
    <row r="289" spans="1:5" ht="14.25" customHeight="1" x14ac:dyDescent="0.35">
      <c r="A289" s="4"/>
      <c r="B289" s="4"/>
      <c r="C289" s="4"/>
      <c r="D289" s="4"/>
      <c r="E289" s="4"/>
    </row>
    <row r="290" spans="1:5" ht="14.25" customHeight="1" x14ac:dyDescent="0.35">
      <c r="A290" s="4"/>
      <c r="B290" s="4"/>
      <c r="C290" s="4"/>
      <c r="D290" s="4"/>
      <c r="E290" s="4"/>
    </row>
    <row r="291" spans="1:5" ht="14.25" customHeight="1" x14ac:dyDescent="0.35">
      <c r="A291" s="4"/>
      <c r="B291" s="4"/>
      <c r="C291" s="4"/>
      <c r="D291" s="4"/>
      <c r="E291" s="4"/>
    </row>
    <row r="292" spans="1:5" ht="14.25" customHeight="1" x14ac:dyDescent="0.35">
      <c r="A292" s="4"/>
      <c r="B292" s="4"/>
      <c r="C292" s="4"/>
      <c r="D292" s="4"/>
      <c r="E292" s="4"/>
    </row>
    <row r="293" spans="1:5" ht="14.25" customHeight="1" x14ac:dyDescent="0.35">
      <c r="A293" s="4"/>
      <c r="B293" s="4"/>
      <c r="C293" s="4"/>
      <c r="D293" s="4"/>
      <c r="E293" s="4"/>
    </row>
    <row r="294" spans="1:5" ht="14.25" customHeight="1" x14ac:dyDescent="0.35">
      <c r="A294" s="4"/>
      <c r="B294" s="4"/>
      <c r="C294" s="4"/>
      <c r="D294" s="4"/>
      <c r="E294" s="4"/>
    </row>
    <row r="295" spans="1:5" ht="14.25" customHeight="1" x14ac:dyDescent="0.35">
      <c r="A295" s="4"/>
      <c r="B295" s="4"/>
      <c r="C295" s="4"/>
      <c r="D295" s="4"/>
      <c r="E295" s="4"/>
    </row>
    <row r="296" spans="1:5" ht="14.25" customHeight="1" x14ac:dyDescent="0.35">
      <c r="A296" s="4"/>
      <c r="B296" s="4"/>
      <c r="C296" s="4"/>
      <c r="D296" s="4"/>
      <c r="E296" s="4"/>
    </row>
    <row r="297" spans="1:5" ht="14.25" customHeight="1" x14ac:dyDescent="0.35">
      <c r="A297" s="4"/>
      <c r="B297" s="4"/>
      <c r="C297" s="4"/>
      <c r="D297" s="4"/>
      <c r="E297" s="4"/>
    </row>
    <row r="298" spans="1:5" ht="14.25" customHeight="1" x14ac:dyDescent="0.35">
      <c r="A298" s="4"/>
      <c r="B298" s="4"/>
      <c r="C298" s="4"/>
      <c r="D298" s="4"/>
      <c r="E298" s="4"/>
    </row>
    <row r="299" spans="1:5" ht="14.25" customHeight="1" x14ac:dyDescent="0.35">
      <c r="A299" s="4"/>
      <c r="B299" s="4"/>
      <c r="C299" s="4"/>
      <c r="D299" s="4"/>
      <c r="E299" s="4"/>
    </row>
    <row r="300" spans="1:5" ht="14.25" customHeight="1" x14ac:dyDescent="0.35">
      <c r="A300" s="4"/>
      <c r="B300" s="4"/>
      <c r="C300" s="4"/>
      <c r="D300" s="4"/>
      <c r="E300" s="4"/>
    </row>
    <row r="301" spans="1:5" ht="14.25" customHeight="1" x14ac:dyDescent="0.35">
      <c r="A301" s="4"/>
      <c r="B301" s="4"/>
      <c r="C301" s="4"/>
      <c r="D301" s="4"/>
      <c r="E301" s="4"/>
    </row>
    <row r="302" spans="1:5" ht="14.25" customHeight="1" x14ac:dyDescent="0.35">
      <c r="A302" s="4"/>
      <c r="B302" s="4"/>
      <c r="C302" s="4"/>
      <c r="D302" s="4"/>
      <c r="E302" s="4"/>
    </row>
    <row r="303" spans="1:5" ht="14.25" customHeight="1" x14ac:dyDescent="0.35">
      <c r="A303" s="4"/>
      <c r="B303" s="4"/>
      <c r="C303" s="4"/>
      <c r="D303" s="4"/>
      <c r="E303" s="4"/>
    </row>
    <row r="304" spans="1:5" ht="14.25" customHeight="1" x14ac:dyDescent="0.35">
      <c r="A304" s="4"/>
      <c r="B304" s="4"/>
      <c r="C304" s="4"/>
      <c r="D304" s="4"/>
      <c r="E304" s="4"/>
    </row>
    <row r="305" spans="1:5" ht="14.25" customHeight="1" x14ac:dyDescent="0.35">
      <c r="A305" s="4"/>
      <c r="B305" s="4"/>
      <c r="C305" s="4"/>
      <c r="D305" s="4"/>
      <c r="E305" s="4"/>
    </row>
    <row r="306" spans="1:5" ht="14.25" customHeight="1" x14ac:dyDescent="0.35">
      <c r="A306" s="4"/>
      <c r="B306" s="4"/>
      <c r="C306" s="4"/>
      <c r="D306" s="4"/>
      <c r="E306" s="4"/>
    </row>
    <row r="307" spans="1:5" ht="14.25" customHeight="1" x14ac:dyDescent="0.35">
      <c r="A307" s="4"/>
      <c r="B307" s="4"/>
      <c r="C307" s="4"/>
      <c r="D307" s="4"/>
      <c r="E307" s="4"/>
    </row>
    <row r="308" spans="1:5" ht="14.25" customHeight="1" x14ac:dyDescent="0.35">
      <c r="A308" s="4"/>
      <c r="B308" s="4"/>
      <c r="C308" s="4"/>
      <c r="D308" s="4"/>
      <c r="E308" s="4"/>
    </row>
    <row r="309" spans="1:5" ht="14.25" customHeight="1" x14ac:dyDescent="0.35">
      <c r="A309" s="4"/>
      <c r="B309" s="4"/>
      <c r="C309" s="4"/>
      <c r="D309" s="4"/>
      <c r="E309" s="4"/>
    </row>
    <row r="310" spans="1:5" ht="14.25" customHeight="1" x14ac:dyDescent="0.35">
      <c r="A310" s="4"/>
      <c r="B310" s="4"/>
      <c r="C310" s="4"/>
      <c r="D310" s="4"/>
      <c r="E310" s="4"/>
    </row>
    <row r="311" spans="1:5" ht="14.25" customHeight="1" x14ac:dyDescent="0.35">
      <c r="A311" s="4"/>
      <c r="B311" s="4"/>
      <c r="C311" s="4"/>
      <c r="D311" s="4"/>
      <c r="E311" s="4"/>
    </row>
    <row r="312" spans="1:5" ht="14.25" customHeight="1" x14ac:dyDescent="0.35">
      <c r="A312" s="4"/>
      <c r="B312" s="4"/>
      <c r="C312" s="4"/>
      <c r="D312" s="4"/>
      <c r="E312" s="4"/>
    </row>
    <row r="313" spans="1:5" ht="14.25" customHeight="1" x14ac:dyDescent="0.35">
      <c r="A313" s="4"/>
      <c r="B313" s="4"/>
      <c r="C313" s="4"/>
      <c r="D313" s="4"/>
      <c r="E313" s="4"/>
    </row>
    <row r="314" spans="1:5" ht="14.25" customHeight="1" x14ac:dyDescent="0.35">
      <c r="A314" s="4"/>
      <c r="B314" s="4"/>
      <c r="C314" s="4"/>
      <c r="D314" s="4"/>
      <c r="E314" s="4"/>
    </row>
    <row r="315" spans="1:5" ht="14.25" customHeight="1" x14ac:dyDescent="0.35">
      <c r="A315" s="4"/>
      <c r="B315" s="4"/>
      <c r="C315" s="4"/>
      <c r="D315" s="4"/>
      <c r="E315" s="4"/>
    </row>
    <row r="316" spans="1:5" ht="14.25" customHeight="1" x14ac:dyDescent="0.35">
      <c r="A316" s="4"/>
      <c r="B316" s="4"/>
      <c r="C316" s="4"/>
      <c r="D316" s="4"/>
      <c r="E316" s="4"/>
    </row>
    <row r="317" spans="1:5" ht="14.25" customHeight="1" x14ac:dyDescent="0.35">
      <c r="A317" s="4"/>
      <c r="B317" s="4"/>
      <c r="C317" s="4"/>
      <c r="D317" s="4"/>
      <c r="E317" s="4"/>
    </row>
    <row r="318" spans="1:5" ht="14.25" customHeight="1" x14ac:dyDescent="0.35">
      <c r="A318" s="4"/>
      <c r="B318" s="4"/>
      <c r="C318" s="4"/>
      <c r="D318" s="4"/>
      <c r="E318" s="4"/>
    </row>
    <row r="319" spans="1:5" ht="14.25" customHeight="1" x14ac:dyDescent="0.35">
      <c r="A319" s="4"/>
      <c r="B319" s="4"/>
      <c r="C319" s="4"/>
      <c r="D319" s="4"/>
      <c r="E319" s="4"/>
    </row>
    <row r="320" spans="1:5" ht="14.25" customHeight="1" x14ac:dyDescent="0.35">
      <c r="A320" s="4"/>
      <c r="B320" s="4"/>
      <c r="C320" s="4"/>
      <c r="D320" s="4"/>
      <c r="E320" s="4"/>
    </row>
    <row r="321" spans="1:5" ht="14.25" customHeight="1" x14ac:dyDescent="0.35">
      <c r="A321" s="4"/>
      <c r="B321" s="4"/>
      <c r="C321" s="4"/>
      <c r="D321" s="4"/>
      <c r="E321" s="4"/>
    </row>
    <row r="322" spans="1:5" ht="14.25" customHeight="1" x14ac:dyDescent="0.35">
      <c r="A322" s="4"/>
      <c r="B322" s="4"/>
      <c r="C322" s="4"/>
      <c r="D322" s="4"/>
      <c r="E322" s="4"/>
    </row>
    <row r="323" spans="1:5" ht="14.25" customHeight="1" x14ac:dyDescent="0.35">
      <c r="A323" s="4"/>
      <c r="B323" s="4"/>
      <c r="C323" s="4"/>
      <c r="D323" s="4"/>
      <c r="E323" s="4"/>
    </row>
    <row r="324" spans="1:5" ht="14.25" customHeight="1" x14ac:dyDescent="0.35">
      <c r="A324" s="4"/>
      <c r="B324" s="4"/>
      <c r="C324" s="4"/>
      <c r="D324" s="4"/>
      <c r="E324" s="4"/>
    </row>
    <row r="325" spans="1:5" ht="14.25" customHeight="1" x14ac:dyDescent="0.35">
      <c r="A325" s="4"/>
      <c r="B325" s="4"/>
      <c r="C325" s="4"/>
      <c r="D325" s="4"/>
      <c r="E325" s="4"/>
    </row>
    <row r="326" spans="1:5" ht="14.25" customHeight="1" x14ac:dyDescent="0.35">
      <c r="A326" s="4"/>
      <c r="B326" s="4"/>
      <c r="C326" s="4"/>
      <c r="D326" s="4"/>
      <c r="E326" s="4"/>
    </row>
    <row r="327" spans="1:5" ht="14.25" customHeight="1" x14ac:dyDescent="0.35">
      <c r="A327" s="4"/>
      <c r="B327" s="4"/>
      <c r="C327" s="4"/>
      <c r="D327" s="4"/>
      <c r="E327" s="4"/>
    </row>
    <row r="328" spans="1:5" ht="14.25" customHeight="1" x14ac:dyDescent="0.35">
      <c r="A328" s="4"/>
      <c r="B328" s="4"/>
      <c r="C328" s="4"/>
      <c r="D328" s="4"/>
      <c r="E328" s="4"/>
    </row>
    <row r="329" spans="1:5" ht="14.25" customHeight="1" x14ac:dyDescent="0.35">
      <c r="A329" s="4"/>
      <c r="B329" s="4"/>
      <c r="C329" s="4"/>
      <c r="D329" s="4"/>
      <c r="E329" s="4"/>
    </row>
    <row r="330" spans="1:5" ht="14.25" customHeight="1" x14ac:dyDescent="0.35">
      <c r="A330" s="4"/>
      <c r="B330" s="4"/>
      <c r="C330" s="4"/>
      <c r="D330" s="4"/>
      <c r="E330" s="4"/>
    </row>
    <row r="331" spans="1:5" ht="14.25" customHeight="1" x14ac:dyDescent="0.35">
      <c r="A331" s="4"/>
      <c r="B331" s="4"/>
      <c r="C331" s="4"/>
      <c r="D331" s="4"/>
      <c r="E331" s="4"/>
    </row>
    <row r="332" spans="1:5" ht="14.25" customHeight="1" x14ac:dyDescent="0.35">
      <c r="A332" s="4"/>
      <c r="B332" s="4"/>
      <c r="C332" s="4"/>
      <c r="D332" s="4"/>
      <c r="E332" s="4"/>
    </row>
    <row r="333" spans="1:5" ht="14.25" customHeight="1" x14ac:dyDescent="0.35">
      <c r="A333" s="4"/>
      <c r="B333" s="4"/>
      <c r="C333" s="4"/>
      <c r="D333" s="4"/>
      <c r="E333" s="4"/>
    </row>
    <row r="334" spans="1:5" ht="14.25" customHeight="1" x14ac:dyDescent="0.35">
      <c r="A334" s="4"/>
      <c r="B334" s="4"/>
      <c r="C334" s="4"/>
      <c r="D334" s="4"/>
      <c r="E334" s="4"/>
    </row>
    <row r="335" spans="1:5" ht="14.25" customHeight="1" x14ac:dyDescent="0.35">
      <c r="A335" s="4"/>
      <c r="B335" s="4"/>
      <c r="C335" s="4"/>
      <c r="D335" s="4"/>
      <c r="E335" s="4"/>
    </row>
    <row r="336" spans="1:5" ht="14.25" customHeight="1" x14ac:dyDescent="0.35">
      <c r="A336" s="4"/>
      <c r="B336" s="4"/>
      <c r="C336" s="4"/>
      <c r="D336" s="4"/>
      <c r="E336" s="4"/>
    </row>
    <row r="337" spans="1:5" ht="14.25" customHeight="1" x14ac:dyDescent="0.35">
      <c r="A337" s="4"/>
      <c r="B337" s="4"/>
      <c r="C337" s="4"/>
      <c r="D337" s="4"/>
      <c r="E337" s="4"/>
    </row>
    <row r="338" spans="1:5" ht="14.25" customHeight="1" x14ac:dyDescent="0.35">
      <c r="A338" s="4"/>
      <c r="B338" s="4"/>
      <c r="C338" s="4"/>
      <c r="D338" s="4"/>
      <c r="E338" s="4"/>
    </row>
    <row r="339" spans="1:5" ht="14.25" customHeight="1" x14ac:dyDescent="0.35">
      <c r="A339" s="4"/>
      <c r="B339" s="4"/>
      <c r="C339" s="4"/>
      <c r="D339" s="4"/>
      <c r="E339" s="4"/>
    </row>
    <row r="340" spans="1:5" ht="14.25" customHeight="1" x14ac:dyDescent="0.35">
      <c r="A340" s="4"/>
      <c r="B340" s="4"/>
      <c r="C340" s="4"/>
      <c r="D340" s="4"/>
      <c r="E340" s="4"/>
    </row>
    <row r="341" spans="1:5" ht="14.25" customHeight="1" x14ac:dyDescent="0.35">
      <c r="A341" s="4"/>
      <c r="B341" s="4"/>
      <c r="C341" s="4"/>
      <c r="D341" s="4"/>
      <c r="E341" s="4"/>
    </row>
    <row r="342" spans="1:5" ht="14.25" customHeight="1" x14ac:dyDescent="0.35">
      <c r="A342" s="4"/>
      <c r="B342" s="4"/>
      <c r="C342" s="4"/>
      <c r="D342" s="4"/>
      <c r="E342" s="4"/>
    </row>
    <row r="343" spans="1:5" ht="14.25" customHeight="1" x14ac:dyDescent="0.35">
      <c r="A343" s="4"/>
      <c r="B343" s="4"/>
      <c r="C343" s="4"/>
      <c r="D343" s="4"/>
      <c r="E343" s="4"/>
    </row>
    <row r="344" spans="1:5" ht="14.25" customHeight="1" x14ac:dyDescent="0.35">
      <c r="A344" s="4"/>
      <c r="B344" s="4"/>
      <c r="C344" s="4"/>
      <c r="D344" s="4"/>
      <c r="E344" s="4"/>
    </row>
    <row r="345" spans="1:5" ht="14.25" customHeight="1" x14ac:dyDescent="0.35">
      <c r="A345" s="4"/>
      <c r="B345" s="4"/>
      <c r="C345" s="4"/>
      <c r="D345" s="4"/>
      <c r="E345" s="4"/>
    </row>
    <row r="346" spans="1:5" ht="14.25" customHeight="1" x14ac:dyDescent="0.35">
      <c r="A346" s="4"/>
      <c r="B346" s="4"/>
      <c r="C346" s="4"/>
      <c r="D346" s="4"/>
      <c r="E346" s="4"/>
    </row>
    <row r="347" spans="1:5" ht="14.25" customHeight="1" x14ac:dyDescent="0.35">
      <c r="A347" s="4"/>
      <c r="B347" s="4"/>
      <c r="C347" s="4"/>
      <c r="D347" s="4"/>
      <c r="E347" s="4"/>
    </row>
    <row r="348" spans="1:5" ht="14.25" customHeight="1" x14ac:dyDescent="0.35">
      <c r="A348" s="4"/>
      <c r="B348" s="4"/>
      <c r="C348" s="4"/>
      <c r="D348" s="4"/>
      <c r="E348" s="4"/>
    </row>
    <row r="349" spans="1:5" ht="14.25" customHeight="1" x14ac:dyDescent="0.35">
      <c r="A349" s="4"/>
      <c r="B349" s="4"/>
      <c r="C349" s="4"/>
      <c r="D349" s="4"/>
      <c r="E349" s="4"/>
    </row>
    <row r="350" spans="1:5" ht="14.25" customHeight="1" x14ac:dyDescent="0.35">
      <c r="A350" s="4"/>
      <c r="B350" s="4"/>
      <c r="C350" s="4"/>
      <c r="D350" s="4"/>
      <c r="E350" s="4"/>
    </row>
    <row r="351" spans="1:5" ht="14.25" customHeight="1" x14ac:dyDescent="0.35">
      <c r="A351" s="4"/>
      <c r="B351" s="4"/>
      <c r="C351" s="4"/>
      <c r="D351" s="4"/>
      <c r="E351" s="4"/>
    </row>
    <row r="352" spans="1:5" ht="14.25" customHeight="1" x14ac:dyDescent="0.35">
      <c r="A352" s="4"/>
      <c r="B352" s="4"/>
      <c r="C352" s="4"/>
      <c r="D352" s="4"/>
      <c r="E352" s="4"/>
    </row>
    <row r="353" spans="1:5" ht="14.25" customHeight="1" x14ac:dyDescent="0.35">
      <c r="A353" s="4"/>
      <c r="B353" s="4"/>
      <c r="C353" s="4"/>
      <c r="D353" s="4"/>
      <c r="E353" s="4"/>
    </row>
    <row r="354" spans="1:5" ht="14.25" customHeight="1" x14ac:dyDescent="0.35">
      <c r="A354" s="4"/>
      <c r="B354" s="4"/>
      <c r="C354" s="4"/>
      <c r="D354" s="4"/>
      <c r="E354" s="4"/>
    </row>
    <row r="355" spans="1:5" ht="14.25" customHeight="1" x14ac:dyDescent="0.35">
      <c r="A355" s="4"/>
      <c r="B355" s="4"/>
      <c r="C355" s="4"/>
      <c r="D355" s="4"/>
      <c r="E355" s="4"/>
    </row>
    <row r="356" spans="1:5" ht="14.25" customHeight="1" x14ac:dyDescent="0.35">
      <c r="A356" s="4"/>
      <c r="B356" s="4"/>
      <c r="C356" s="4"/>
      <c r="D356" s="4"/>
      <c r="E356" s="4"/>
    </row>
    <row r="357" spans="1:5" ht="14.25" customHeight="1" x14ac:dyDescent="0.35">
      <c r="A357" s="4"/>
      <c r="B357" s="4"/>
      <c r="C357" s="4"/>
      <c r="D357" s="4"/>
      <c r="E357" s="4"/>
    </row>
    <row r="358" spans="1:5" ht="14.25" customHeight="1" x14ac:dyDescent="0.35">
      <c r="A358" s="4"/>
      <c r="B358" s="4"/>
      <c r="C358" s="4"/>
      <c r="D358" s="4"/>
      <c r="E358" s="4"/>
    </row>
    <row r="359" spans="1:5" ht="14.25" customHeight="1" x14ac:dyDescent="0.35">
      <c r="A359" s="4"/>
      <c r="B359" s="4"/>
      <c r="C359" s="4"/>
      <c r="D359" s="4"/>
      <c r="E359" s="4"/>
    </row>
    <row r="360" spans="1:5" ht="14.25" customHeight="1" x14ac:dyDescent="0.35">
      <c r="A360" s="4"/>
      <c r="B360" s="4"/>
      <c r="C360" s="4"/>
      <c r="D360" s="4"/>
      <c r="E360" s="4"/>
    </row>
    <row r="361" spans="1:5" ht="14.25" customHeight="1" x14ac:dyDescent="0.35">
      <c r="A361" s="4"/>
      <c r="B361" s="4"/>
      <c r="C361" s="4"/>
      <c r="D361" s="4"/>
      <c r="E361" s="4"/>
    </row>
    <row r="362" spans="1:5" ht="14.25" customHeight="1" x14ac:dyDescent="0.35">
      <c r="A362" s="4"/>
      <c r="B362" s="4"/>
      <c r="C362" s="4"/>
      <c r="D362" s="4"/>
      <c r="E362" s="4"/>
    </row>
    <row r="363" spans="1:5" ht="14.25" customHeight="1" x14ac:dyDescent="0.35">
      <c r="A363" s="4"/>
      <c r="B363" s="4"/>
      <c r="C363" s="4"/>
      <c r="D363" s="4"/>
      <c r="E363" s="4"/>
    </row>
    <row r="364" spans="1:5" ht="14.25" customHeight="1" x14ac:dyDescent="0.35">
      <c r="A364" s="4"/>
      <c r="B364" s="4"/>
      <c r="C364" s="4"/>
      <c r="D364" s="4"/>
      <c r="E364" s="4"/>
    </row>
    <row r="365" spans="1:5" ht="14.25" customHeight="1" x14ac:dyDescent="0.35">
      <c r="A365" s="4"/>
      <c r="B365" s="4"/>
      <c r="C365" s="4"/>
      <c r="D365" s="4"/>
      <c r="E365" s="4"/>
    </row>
    <row r="366" spans="1:5" ht="14.25" customHeight="1" x14ac:dyDescent="0.35">
      <c r="A366" s="4"/>
      <c r="B366" s="4"/>
      <c r="C366" s="4"/>
      <c r="D366" s="4"/>
      <c r="E366" s="4"/>
    </row>
    <row r="367" spans="1:5" ht="14.25" customHeight="1" x14ac:dyDescent="0.35">
      <c r="A367" s="4"/>
      <c r="B367" s="4"/>
      <c r="C367" s="4"/>
      <c r="D367" s="4"/>
      <c r="E367" s="4"/>
    </row>
    <row r="368" spans="1:5" ht="14.25" customHeight="1" x14ac:dyDescent="0.35">
      <c r="A368" s="4"/>
      <c r="B368" s="4"/>
      <c r="C368" s="4"/>
      <c r="D368" s="4"/>
      <c r="E368" s="4"/>
    </row>
    <row r="369" spans="1:5" ht="14.25" customHeight="1" x14ac:dyDescent="0.35">
      <c r="A369" s="4"/>
      <c r="B369" s="4"/>
      <c r="C369" s="4"/>
      <c r="D369" s="4"/>
      <c r="E369" s="4"/>
    </row>
    <row r="370" spans="1:5" ht="14.25" customHeight="1" x14ac:dyDescent="0.35">
      <c r="A370" s="4"/>
      <c r="B370" s="4"/>
      <c r="C370" s="4"/>
      <c r="D370" s="4"/>
      <c r="E370" s="4"/>
    </row>
    <row r="371" spans="1:5" ht="14.25" customHeight="1" x14ac:dyDescent="0.35">
      <c r="A371" s="4"/>
      <c r="B371" s="4"/>
      <c r="C371" s="4"/>
      <c r="D371" s="4"/>
      <c r="E371" s="4"/>
    </row>
    <row r="372" spans="1:5" ht="14.25" customHeight="1" x14ac:dyDescent="0.35">
      <c r="A372" s="4"/>
      <c r="B372" s="4"/>
      <c r="C372" s="4"/>
      <c r="D372" s="4"/>
      <c r="E372" s="4"/>
    </row>
    <row r="373" spans="1:5" ht="14.25" customHeight="1" x14ac:dyDescent="0.35">
      <c r="A373" s="4"/>
      <c r="B373" s="4"/>
      <c r="C373" s="4"/>
      <c r="D373" s="4"/>
      <c r="E373" s="4"/>
    </row>
    <row r="374" spans="1:5" ht="14.25" customHeight="1" x14ac:dyDescent="0.35">
      <c r="A374" s="4"/>
      <c r="B374" s="4"/>
      <c r="C374" s="4"/>
      <c r="D374" s="4"/>
      <c r="E374" s="4"/>
    </row>
    <row r="375" spans="1:5" ht="14.25" customHeight="1" x14ac:dyDescent="0.35">
      <c r="A375" s="4"/>
      <c r="B375" s="4"/>
      <c r="C375" s="4"/>
      <c r="D375" s="4"/>
      <c r="E375" s="4"/>
    </row>
    <row r="376" spans="1:5" ht="14.25" customHeight="1" x14ac:dyDescent="0.35">
      <c r="A376" s="4"/>
      <c r="B376" s="4"/>
      <c r="C376" s="4"/>
      <c r="D376" s="4"/>
      <c r="E376" s="4"/>
    </row>
    <row r="377" spans="1:5" ht="14.25" customHeight="1" x14ac:dyDescent="0.35">
      <c r="A377" s="4"/>
      <c r="B377" s="4"/>
      <c r="C377" s="4"/>
      <c r="D377" s="4"/>
      <c r="E377" s="4"/>
    </row>
    <row r="378" spans="1:5" ht="14.25" customHeight="1" x14ac:dyDescent="0.35">
      <c r="A378" s="4"/>
      <c r="B378" s="4"/>
      <c r="C378" s="4"/>
      <c r="D378" s="4"/>
      <c r="E378" s="4"/>
    </row>
    <row r="379" spans="1:5" ht="14.25" customHeight="1" x14ac:dyDescent="0.35">
      <c r="A379" s="4"/>
      <c r="B379" s="4"/>
      <c r="C379" s="4"/>
      <c r="D379" s="4"/>
      <c r="E379" s="4"/>
    </row>
    <row r="380" spans="1:5" ht="14.25" customHeight="1" x14ac:dyDescent="0.35">
      <c r="A380" s="4"/>
      <c r="B380" s="4"/>
      <c r="C380" s="4"/>
      <c r="D380" s="4"/>
      <c r="E380" s="4"/>
    </row>
    <row r="381" spans="1:5" ht="14.25" customHeight="1" x14ac:dyDescent="0.35">
      <c r="A381" s="4"/>
      <c r="B381" s="4"/>
      <c r="C381" s="4"/>
      <c r="D381" s="4"/>
      <c r="E381" s="4"/>
    </row>
    <row r="382" spans="1:5" ht="14.25" customHeight="1" x14ac:dyDescent="0.35">
      <c r="A382" s="4"/>
      <c r="B382" s="4"/>
      <c r="C382" s="4"/>
      <c r="D382" s="4"/>
      <c r="E382" s="4"/>
    </row>
    <row r="383" spans="1:5" ht="14.25" customHeight="1" x14ac:dyDescent="0.35">
      <c r="A383" s="4"/>
      <c r="B383" s="4"/>
      <c r="C383" s="4"/>
      <c r="D383" s="4"/>
      <c r="E383" s="4"/>
    </row>
    <row r="384" spans="1:5" ht="14.25" customHeight="1" x14ac:dyDescent="0.35">
      <c r="A384" s="4"/>
      <c r="B384" s="4"/>
      <c r="C384" s="4"/>
      <c r="D384" s="4"/>
      <c r="E384" s="4"/>
    </row>
    <row r="385" spans="1:5" ht="14.25" customHeight="1" x14ac:dyDescent="0.35">
      <c r="A385" s="4"/>
      <c r="B385" s="4"/>
      <c r="C385" s="4"/>
      <c r="D385" s="4"/>
      <c r="E385" s="4"/>
    </row>
    <row r="386" spans="1:5" ht="14.25" customHeight="1" x14ac:dyDescent="0.35">
      <c r="A386" s="4"/>
      <c r="B386" s="4"/>
      <c r="C386" s="4"/>
      <c r="D386" s="4"/>
      <c r="E386" s="4"/>
    </row>
    <row r="387" spans="1:5" ht="14.25" customHeight="1" x14ac:dyDescent="0.35">
      <c r="A387" s="4"/>
      <c r="B387" s="4"/>
      <c r="C387" s="4"/>
      <c r="D387" s="4"/>
      <c r="E387" s="4"/>
    </row>
    <row r="388" spans="1:5" ht="14.25" customHeight="1" x14ac:dyDescent="0.35">
      <c r="A388" s="4"/>
      <c r="B388" s="4"/>
      <c r="C388" s="4"/>
      <c r="D388" s="4"/>
      <c r="E388" s="4"/>
    </row>
    <row r="389" spans="1:5" ht="14.25" customHeight="1" x14ac:dyDescent="0.35">
      <c r="A389" s="4"/>
      <c r="B389" s="4"/>
      <c r="C389" s="4"/>
      <c r="D389" s="4"/>
      <c r="E389" s="4"/>
    </row>
    <row r="390" spans="1:5" ht="14.25" customHeight="1" x14ac:dyDescent="0.35">
      <c r="A390" s="4"/>
      <c r="B390" s="4"/>
      <c r="C390" s="4"/>
      <c r="D390" s="4"/>
      <c r="E390" s="4"/>
    </row>
    <row r="391" spans="1:5" ht="14.25" customHeight="1" x14ac:dyDescent="0.35">
      <c r="A391" s="4"/>
      <c r="B391" s="4"/>
      <c r="C391" s="4"/>
      <c r="D391" s="4"/>
      <c r="E391" s="4"/>
    </row>
    <row r="392" spans="1:5" ht="14.25" customHeight="1" x14ac:dyDescent="0.35">
      <c r="A392" s="4"/>
      <c r="B392" s="4"/>
      <c r="C392" s="4"/>
      <c r="D392" s="4"/>
      <c r="E392" s="4"/>
    </row>
    <row r="393" spans="1:5" ht="14.25" customHeight="1" x14ac:dyDescent="0.35">
      <c r="A393" s="4"/>
      <c r="B393" s="4"/>
      <c r="C393" s="4"/>
      <c r="D393" s="4"/>
      <c r="E393" s="4"/>
    </row>
    <row r="394" spans="1:5" ht="14.25" customHeight="1" x14ac:dyDescent="0.35">
      <c r="A394" s="4"/>
      <c r="B394" s="4"/>
      <c r="C394" s="4"/>
      <c r="D394" s="4"/>
      <c r="E394" s="4"/>
    </row>
    <row r="395" spans="1:5" ht="14.25" customHeight="1" x14ac:dyDescent="0.35">
      <c r="A395" s="4"/>
      <c r="B395" s="4"/>
      <c r="C395" s="4"/>
      <c r="D395" s="4"/>
      <c r="E395" s="4"/>
    </row>
    <row r="396" spans="1:5" ht="14.25" customHeight="1" x14ac:dyDescent="0.35">
      <c r="A396" s="4"/>
      <c r="B396" s="4"/>
      <c r="C396" s="4"/>
      <c r="D396" s="4"/>
      <c r="E396" s="4"/>
    </row>
    <row r="397" spans="1:5" ht="14.25" customHeight="1" x14ac:dyDescent="0.35">
      <c r="A397" s="4"/>
      <c r="B397" s="4"/>
      <c r="C397" s="4"/>
      <c r="D397" s="4"/>
      <c r="E397" s="4"/>
    </row>
    <row r="398" spans="1:5" ht="14.25" customHeight="1" x14ac:dyDescent="0.35">
      <c r="A398" s="4"/>
      <c r="B398" s="4"/>
      <c r="C398" s="4"/>
      <c r="D398" s="4"/>
      <c r="E398" s="4"/>
    </row>
    <row r="399" spans="1:5" ht="14.25" customHeight="1" x14ac:dyDescent="0.35">
      <c r="A399" s="4"/>
      <c r="B399" s="4"/>
      <c r="C399" s="4"/>
      <c r="D399" s="4"/>
      <c r="E399" s="4"/>
    </row>
    <row r="400" spans="1:5" ht="14.25" customHeight="1" x14ac:dyDescent="0.35">
      <c r="A400" s="4"/>
      <c r="B400" s="4"/>
      <c r="C400" s="4"/>
      <c r="D400" s="4"/>
      <c r="E400" s="4"/>
    </row>
    <row r="401" spans="1:5" ht="14.25" customHeight="1" x14ac:dyDescent="0.35">
      <c r="A401" s="4"/>
      <c r="B401" s="4"/>
      <c r="C401" s="4"/>
      <c r="D401" s="4"/>
      <c r="E401" s="4"/>
    </row>
    <row r="402" spans="1:5" ht="14.25" customHeight="1" x14ac:dyDescent="0.35">
      <c r="A402" s="4"/>
      <c r="B402" s="4"/>
      <c r="C402" s="4"/>
      <c r="D402" s="4"/>
      <c r="E402" s="4"/>
    </row>
    <row r="403" spans="1:5" ht="14.25" customHeight="1" x14ac:dyDescent="0.35">
      <c r="A403" s="4"/>
      <c r="B403" s="4"/>
      <c r="C403" s="4"/>
      <c r="D403" s="4"/>
      <c r="E403" s="4"/>
    </row>
    <row r="404" spans="1:5" ht="14.25" customHeight="1" x14ac:dyDescent="0.35">
      <c r="A404" s="4"/>
      <c r="B404" s="4"/>
      <c r="C404" s="4"/>
      <c r="D404" s="4"/>
      <c r="E404" s="4"/>
    </row>
    <row r="405" spans="1:5" ht="14.25" customHeight="1" x14ac:dyDescent="0.35">
      <c r="A405" s="4"/>
      <c r="B405" s="4"/>
      <c r="C405" s="4"/>
      <c r="D405" s="4"/>
      <c r="E405" s="4"/>
    </row>
    <row r="406" spans="1:5" ht="14.25" customHeight="1" x14ac:dyDescent="0.35">
      <c r="A406" s="4"/>
      <c r="B406" s="4"/>
      <c r="C406" s="4"/>
      <c r="D406" s="4"/>
      <c r="E406" s="4"/>
    </row>
    <row r="407" spans="1:5" ht="14.25" customHeight="1" x14ac:dyDescent="0.35">
      <c r="A407" s="4"/>
      <c r="B407" s="4"/>
      <c r="C407" s="4"/>
      <c r="D407" s="4"/>
      <c r="E407" s="4"/>
    </row>
    <row r="408" spans="1:5" ht="14.25" customHeight="1" x14ac:dyDescent="0.35">
      <c r="A408" s="4"/>
      <c r="B408" s="4"/>
      <c r="C408" s="4"/>
      <c r="D408" s="4"/>
      <c r="E408" s="4"/>
    </row>
    <row r="409" spans="1:5" ht="14.25" customHeight="1" x14ac:dyDescent="0.35">
      <c r="A409" s="4"/>
      <c r="B409" s="4"/>
      <c r="C409" s="4"/>
      <c r="D409" s="4"/>
      <c r="E409" s="4"/>
    </row>
    <row r="410" spans="1:5" ht="14.25" customHeight="1" x14ac:dyDescent="0.35">
      <c r="A410" s="4"/>
      <c r="B410" s="4"/>
      <c r="C410" s="4"/>
      <c r="D410" s="4"/>
      <c r="E410" s="4"/>
    </row>
    <row r="411" spans="1:5" ht="14.25" customHeight="1" x14ac:dyDescent="0.35">
      <c r="A411" s="4"/>
      <c r="B411" s="4"/>
      <c r="C411" s="4"/>
      <c r="D411" s="4"/>
      <c r="E411" s="4"/>
    </row>
    <row r="412" spans="1:5" ht="14.25" customHeight="1" x14ac:dyDescent="0.35">
      <c r="A412" s="4"/>
      <c r="B412" s="4"/>
      <c r="C412" s="4"/>
      <c r="D412" s="4"/>
      <c r="E412" s="4"/>
    </row>
    <row r="413" spans="1:5" ht="14.25" customHeight="1" x14ac:dyDescent="0.35">
      <c r="A413" s="4"/>
      <c r="B413" s="4"/>
      <c r="C413" s="4"/>
      <c r="D413" s="4"/>
      <c r="E413" s="4"/>
    </row>
    <row r="414" spans="1:5" ht="14.25" customHeight="1" x14ac:dyDescent="0.35">
      <c r="A414" s="4"/>
      <c r="B414" s="4"/>
      <c r="C414" s="4"/>
      <c r="D414" s="4"/>
      <c r="E414" s="4"/>
    </row>
    <row r="415" spans="1:5" ht="14.25" customHeight="1" x14ac:dyDescent="0.35">
      <c r="A415" s="4"/>
      <c r="B415" s="4"/>
      <c r="C415" s="4"/>
      <c r="D415" s="4"/>
      <c r="E415" s="4"/>
    </row>
    <row r="416" spans="1:5" ht="14.25" customHeight="1" x14ac:dyDescent="0.35">
      <c r="A416" s="4"/>
      <c r="B416" s="4"/>
      <c r="C416" s="4"/>
      <c r="D416" s="4"/>
      <c r="E416" s="4"/>
    </row>
    <row r="417" spans="1:5" ht="14.25" customHeight="1" x14ac:dyDescent="0.35">
      <c r="A417" s="4"/>
      <c r="B417" s="4"/>
      <c r="C417" s="4"/>
      <c r="D417" s="4"/>
      <c r="E417" s="4"/>
    </row>
    <row r="418" spans="1:5" ht="14.25" customHeight="1" x14ac:dyDescent="0.35">
      <c r="A418" s="4"/>
      <c r="B418" s="4"/>
      <c r="C418" s="4"/>
      <c r="D418" s="4"/>
      <c r="E418" s="4"/>
    </row>
    <row r="419" spans="1:5" ht="14.25" customHeight="1" x14ac:dyDescent="0.35">
      <c r="A419" s="4"/>
      <c r="B419" s="4"/>
      <c r="C419" s="4"/>
      <c r="D419" s="4"/>
      <c r="E419" s="4"/>
    </row>
    <row r="420" spans="1:5" ht="14.25" customHeight="1" x14ac:dyDescent="0.35">
      <c r="A420" s="4"/>
      <c r="B420" s="4"/>
      <c r="C420" s="4"/>
      <c r="D420" s="4"/>
      <c r="E420" s="4"/>
    </row>
    <row r="421" spans="1:5" ht="14.25" customHeight="1" x14ac:dyDescent="0.35">
      <c r="A421" s="4"/>
      <c r="B421" s="4"/>
      <c r="C421" s="4"/>
      <c r="D421" s="4"/>
      <c r="E421" s="4"/>
    </row>
    <row r="422" spans="1:5" ht="14.25" customHeight="1" x14ac:dyDescent="0.35">
      <c r="A422" s="4"/>
      <c r="B422" s="4"/>
      <c r="C422" s="4"/>
      <c r="D422" s="4"/>
      <c r="E422" s="4"/>
    </row>
    <row r="423" spans="1:5" ht="14.25" customHeight="1" x14ac:dyDescent="0.35">
      <c r="A423" s="4"/>
      <c r="B423" s="4"/>
      <c r="C423" s="4"/>
      <c r="D423" s="4"/>
      <c r="E423" s="4"/>
    </row>
    <row r="424" spans="1:5" ht="14.25" customHeight="1" x14ac:dyDescent="0.35">
      <c r="A424" s="4"/>
      <c r="B424" s="4"/>
      <c r="C424" s="4"/>
      <c r="D424" s="4"/>
      <c r="E424" s="4"/>
    </row>
    <row r="425" spans="1:5" ht="14.25" customHeight="1" x14ac:dyDescent="0.35">
      <c r="A425" s="4"/>
      <c r="B425" s="4"/>
      <c r="C425" s="4"/>
      <c r="D425" s="4"/>
      <c r="E425" s="4"/>
    </row>
    <row r="426" spans="1:5" ht="14.25" customHeight="1" x14ac:dyDescent="0.35">
      <c r="A426" s="4"/>
      <c r="B426" s="4"/>
      <c r="C426" s="4"/>
      <c r="D426" s="4"/>
      <c r="E426" s="4"/>
    </row>
    <row r="427" spans="1:5" ht="14.25" customHeight="1" x14ac:dyDescent="0.35">
      <c r="A427" s="4"/>
      <c r="B427" s="4"/>
      <c r="C427" s="4"/>
      <c r="D427" s="4"/>
      <c r="E427" s="4"/>
    </row>
    <row r="428" spans="1:5" ht="14.25" customHeight="1" x14ac:dyDescent="0.35">
      <c r="A428" s="4"/>
      <c r="B428" s="4"/>
      <c r="C428" s="4"/>
      <c r="D428" s="4"/>
      <c r="E428" s="4"/>
    </row>
    <row r="429" spans="1:5" ht="14.25" customHeight="1" x14ac:dyDescent="0.35">
      <c r="A429" s="4"/>
      <c r="B429" s="4"/>
      <c r="C429" s="4"/>
      <c r="D429" s="4"/>
      <c r="E429" s="4"/>
    </row>
    <row r="430" spans="1:5" ht="14.25" customHeight="1" x14ac:dyDescent="0.35">
      <c r="A430" s="4"/>
      <c r="B430" s="4"/>
      <c r="C430" s="4"/>
      <c r="D430" s="4"/>
      <c r="E430" s="4"/>
    </row>
    <row r="431" spans="1:5" ht="14.25" customHeight="1" x14ac:dyDescent="0.35">
      <c r="A431" s="4"/>
      <c r="B431" s="4"/>
      <c r="C431" s="4"/>
      <c r="D431" s="4"/>
      <c r="E431" s="4"/>
    </row>
    <row r="432" spans="1:5" ht="14.25" customHeight="1" x14ac:dyDescent="0.35">
      <c r="A432" s="4"/>
      <c r="B432" s="4"/>
      <c r="C432" s="4"/>
      <c r="D432" s="4"/>
      <c r="E432" s="4"/>
    </row>
    <row r="433" spans="1:5" ht="14.25" customHeight="1" x14ac:dyDescent="0.35">
      <c r="A433" s="4"/>
      <c r="B433" s="4"/>
      <c r="C433" s="4"/>
      <c r="D433" s="4"/>
      <c r="E433" s="4"/>
    </row>
    <row r="434" spans="1:5" ht="14.25" customHeight="1" x14ac:dyDescent="0.35">
      <c r="A434" s="4"/>
      <c r="B434" s="4"/>
      <c r="C434" s="4"/>
      <c r="D434" s="4"/>
      <c r="E434" s="4"/>
    </row>
    <row r="435" spans="1:5" ht="14.25" customHeight="1" x14ac:dyDescent="0.35">
      <c r="A435" s="4"/>
      <c r="B435" s="4"/>
      <c r="C435" s="4"/>
      <c r="D435" s="4"/>
      <c r="E435" s="4"/>
    </row>
    <row r="436" spans="1:5" ht="14.25" customHeight="1" x14ac:dyDescent="0.35">
      <c r="A436" s="4"/>
      <c r="B436" s="4"/>
      <c r="C436" s="4"/>
      <c r="D436" s="4"/>
      <c r="E436" s="4"/>
    </row>
    <row r="437" spans="1:5" ht="14.25" customHeight="1" x14ac:dyDescent="0.35">
      <c r="A437" s="4"/>
      <c r="B437" s="4"/>
      <c r="C437" s="4"/>
      <c r="D437" s="4"/>
      <c r="E437" s="4"/>
    </row>
    <row r="438" spans="1:5" ht="14.25" customHeight="1" x14ac:dyDescent="0.35">
      <c r="A438" s="4"/>
      <c r="B438" s="4"/>
      <c r="C438" s="4"/>
      <c r="D438" s="4"/>
      <c r="E438" s="4"/>
    </row>
    <row r="439" spans="1:5" ht="14.25" customHeight="1" x14ac:dyDescent="0.35">
      <c r="A439" s="4"/>
      <c r="B439" s="4"/>
      <c r="C439" s="4"/>
      <c r="D439" s="4"/>
      <c r="E439" s="4"/>
    </row>
    <row r="440" spans="1:5" ht="14.25" customHeight="1" x14ac:dyDescent="0.35">
      <c r="A440" s="4"/>
      <c r="B440" s="4"/>
      <c r="C440" s="4"/>
      <c r="D440" s="4"/>
      <c r="E440" s="4"/>
    </row>
    <row r="441" spans="1:5" ht="14.25" customHeight="1" x14ac:dyDescent="0.35">
      <c r="A441" s="4"/>
      <c r="B441" s="4"/>
      <c r="C441" s="4"/>
      <c r="D441" s="4"/>
      <c r="E441" s="4"/>
    </row>
    <row r="442" spans="1:5" ht="14.25" customHeight="1" x14ac:dyDescent="0.35">
      <c r="A442" s="4"/>
      <c r="B442" s="4"/>
      <c r="C442" s="4"/>
      <c r="D442" s="4"/>
      <c r="E442" s="4"/>
    </row>
    <row r="443" spans="1:5" ht="14.25" customHeight="1" x14ac:dyDescent="0.35">
      <c r="A443" s="4"/>
      <c r="B443" s="4"/>
      <c r="C443" s="4"/>
      <c r="D443" s="4"/>
      <c r="E443" s="4"/>
    </row>
    <row r="444" spans="1:5" ht="14.25" customHeight="1" x14ac:dyDescent="0.35">
      <c r="A444" s="4"/>
      <c r="B444" s="4"/>
      <c r="C444" s="4"/>
      <c r="D444" s="4"/>
      <c r="E444" s="4"/>
    </row>
    <row r="445" spans="1:5" ht="14.25" customHeight="1" x14ac:dyDescent="0.35">
      <c r="A445" s="4"/>
      <c r="B445" s="4"/>
      <c r="C445" s="4"/>
      <c r="D445" s="4"/>
      <c r="E445" s="4"/>
    </row>
    <row r="446" spans="1:5" ht="14.25" customHeight="1" x14ac:dyDescent="0.35">
      <c r="A446" s="4"/>
      <c r="B446" s="4"/>
      <c r="C446" s="4"/>
      <c r="D446" s="4"/>
      <c r="E446" s="4"/>
    </row>
    <row r="447" spans="1:5" ht="14.25" customHeight="1" x14ac:dyDescent="0.35">
      <c r="A447" s="4"/>
      <c r="B447" s="4"/>
      <c r="C447" s="4"/>
      <c r="D447" s="4"/>
      <c r="E447" s="4"/>
    </row>
    <row r="448" spans="1:5" ht="14.25" customHeight="1" x14ac:dyDescent="0.35">
      <c r="A448" s="4"/>
      <c r="B448" s="4"/>
      <c r="C448" s="4"/>
      <c r="D448" s="4"/>
      <c r="E448" s="4"/>
    </row>
    <row r="449" spans="1:5" ht="14.25" customHeight="1" x14ac:dyDescent="0.35">
      <c r="A449" s="4"/>
      <c r="B449" s="4"/>
      <c r="C449" s="4"/>
      <c r="D449" s="4"/>
      <c r="E449" s="4"/>
    </row>
    <row r="450" spans="1:5" ht="14.25" customHeight="1" x14ac:dyDescent="0.35">
      <c r="A450" s="4"/>
      <c r="B450" s="4"/>
      <c r="C450" s="4"/>
      <c r="D450" s="4"/>
      <c r="E450" s="4"/>
    </row>
    <row r="451" spans="1:5" ht="14.25" customHeight="1" x14ac:dyDescent="0.35">
      <c r="A451" s="4"/>
      <c r="B451" s="4"/>
      <c r="C451" s="4"/>
      <c r="D451" s="4"/>
      <c r="E451" s="4"/>
    </row>
    <row r="452" spans="1:5" ht="14.25" customHeight="1" x14ac:dyDescent="0.35">
      <c r="A452" s="4"/>
      <c r="B452" s="4"/>
      <c r="C452" s="4"/>
      <c r="D452" s="4"/>
      <c r="E452" s="4"/>
    </row>
    <row r="453" spans="1:5" ht="14.25" customHeight="1" x14ac:dyDescent="0.35">
      <c r="A453" s="4"/>
      <c r="B453" s="4"/>
      <c r="C453" s="4"/>
      <c r="D453" s="4"/>
      <c r="E453" s="4"/>
    </row>
    <row r="454" spans="1:5" ht="14.25" customHeight="1" x14ac:dyDescent="0.35">
      <c r="A454" s="4"/>
      <c r="B454" s="4"/>
      <c r="C454" s="4"/>
      <c r="D454" s="4"/>
      <c r="E454" s="4"/>
    </row>
    <row r="455" spans="1:5" ht="14.25" customHeight="1" x14ac:dyDescent="0.35">
      <c r="A455" s="4"/>
      <c r="B455" s="4"/>
      <c r="C455" s="4"/>
      <c r="D455" s="4"/>
      <c r="E455" s="4"/>
    </row>
    <row r="456" spans="1:5" ht="14.25" customHeight="1" x14ac:dyDescent="0.35">
      <c r="A456" s="4"/>
      <c r="B456" s="4"/>
      <c r="C456" s="4"/>
      <c r="D456" s="4"/>
      <c r="E456" s="4"/>
    </row>
    <row r="457" spans="1:5" ht="14.25" customHeight="1" x14ac:dyDescent="0.35">
      <c r="A457" s="4"/>
      <c r="B457" s="4"/>
      <c r="C457" s="4"/>
      <c r="D457" s="4"/>
      <c r="E457" s="4"/>
    </row>
    <row r="458" spans="1:5" ht="14.25" customHeight="1" x14ac:dyDescent="0.35">
      <c r="A458" s="4"/>
      <c r="B458" s="4"/>
      <c r="C458" s="4"/>
      <c r="D458" s="4"/>
      <c r="E458" s="4"/>
    </row>
    <row r="459" spans="1:5" ht="14.25" customHeight="1" x14ac:dyDescent="0.35">
      <c r="A459" s="4"/>
      <c r="B459" s="4"/>
      <c r="C459" s="4"/>
      <c r="D459" s="4"/>
      <c r="E459" s="4"/>
    </row>
    <row r="460" spans="1:5" ht="14.25" customHeight="1" x14ac:dyDescent="0.35">
      <c r="A460" s="4"/>
      <c r="B460" s="4"/>
      <c r="C460" s="4"/>
      <c r="D460" s="4"/>
      <c r="E460" s="4"/>
    </row>
    <row r="461" spans="1:5" ht="14.25" customHeight="1" x14ac:dyDescent="0.35">
      <c r="A461" s="4"/>
      <c r="B461" s="4"/>
      <c r="C461" s="4"/>
      <c r="D461" s="4"/>
      <c r="E461" s="4"/>
    </row>
    <row r="462" spans="1:5" ht="14.25" customHeight="1" x14ac:dyDescent="0.35">
      <c r="A462" s="4"/>
      <c r="B462" s="4"/>
      <c r="C462" s="4"/>
      <c r="D462" s="4"/>
      <c r="E462" s="4"/>
    </row>
    <row r="463" spans="1:5" ht="14.25" customHeight="1" x14ac:dyDescent="0.35">
      <c r="A463" s="4"/>
      <c r="B463" s="4"/>
      <c r="C463" s="4"/>
      <c r="D463" s="4"/>
      <c r="E463" s="4"/>
    </row>
    <row r="464" spans="1:5" ht="14.25" customHeight="1" x14ac:dyDescent="0.35">
      <c r="A464" s="4"/>
      <c r="B464" s="4"/>
      <c r="C464" s="4"/>
      <c r="D464" s="4"/>
      <c r="E464" s="4"/>
    </row>
    <row r="465" spans="1:5" ht="14.25" customHeight="1" x14ac:dyDescent="0.35">
      <c r="A465" s="4"/>
      <c r="B465" s="4"/>
      <c r="C465" s="4"/>
      <c r="D465" s="4"/>
      <c r="E465" s="4"/>
    </row>
    <row r="466" spans="1:5" ht="14.25" customHeight="1" x14ac:dyDescent="0.35">
      <c r="A466" s="4"/>
      <c r="B466" s="4"/>
      <c r="C466" s="4"/>
      <c r="D466" s="4"/>
      <c r="E466" s="4"/>
    </row>
    <row r="467" spans="1:5" ht="14.25" customHeight="1" x14ac:dyDescent="0.35">
      <c r="A467" s="4"/>
      <c r="B467" s="4"/>
      <c r="C467" s="4"/>
      <c r="D467" s="4"/>
      <c r="E467" s="4"/>
    </row>
    <row r="468" spans="1:5" ht="14.25" customHeight="1" x14ac:dyDescent="0.35">
      <c r="A468" s="4"/>
      <c r="B468" s="4"/>
      <c r="C468" s="4"/>
      <c r="D468" s="4"/>
      <c r="E468" s="4"/>
    </row>
    <row r="469" spans="1:5" ht="14.25" customHeight="1" x14ac:dyDescent="0.35">
      <c r="A469" s="4"/>
      <c r="B469" s="4"/>
      <c r="C469" s="4"/>
      <c r="D469" s="4"/>
      <c r="E469" s="4"/>
    </row>
    <row r="470" spans="1:5" ht="14.25" customHeight="1" x14ac:dyDescent="0.35">
      <c r="A470" s="4"/>
      <c r="B470" s="4"/>
      <c r="C470" s="4"/>
      <c r="D470" s="4"/>
      <c r="E470" s="4"/>
    </row>
    <row r="471" spans="1:5" ht="14.25" customHeight="1" x14ac:dyDescent="0.35">
      <c r="A471" s="4"/>
      <c r="B471" s="4"/>
      <c r="C471" s="4"/>
      <c r="D471" s="4"/>
      <c r="E471" s="4"/>
    </row>
    <row r="472" spans="1:5" ht="14.25" customHeight="1" x14ac:dyDescent="0.35">
      <c r="A472" s="4"/>
      <c r="B472" s="4"/>
      <c r="C472" s="4"/>
      <c r="D472" s="4"/>
      <c r="E472" s="4"/>
    </row>
    <row r="473" spans="1:5" ht="14.25" customHeight="1" x14ac:dyDescent="0.35">
      <c r="A473" s="4"/>
      <c r="B473" s="4"/>
      <c r="C473" s="4"/>
      <c r="D473" s="4"/>
      <c r="E473" s="4"/>
    </row>
    <row r="474" spans="1:5" ht="14.25" customHeight="1" x14ac:dyDescent="0.35">
      <c r="A474" s="4"/>
      <c r="B474" s="4"/>
      <c r="C474" s="4"/>
      <c r="D474" s="4"/>
      <c r="E474" s="4"/>
    </row>
    <row r="475" spans="1:5" ht="14.25" customHeight="1" x14ac:dyDescent="0.35">
      <c r="A475" s="4"/>
      <c r="B475" s="4"/>
      <c r="C475" s="4"/>
      <c r="D475" s="4"/>
      <c r="E475" s="4"/>
    </row>
    <row r="476" spans="1:5" ht="14.25" customHeight="1" x14ac:dyDescent="0.35">
      <c r="A476" s="4"/>
      <c r="B476" s="4"/>
      <c r="C476" s="4"/>
      <c r="D476" s="4"/>
      <c r="E476" s="4"/>
    </row>
    <row r="477" spans="1:5" ht="14.25" customHeight="1" x14ac:dyDescent="0.35">
      <c r="A477" s="4"/>
      <c r="B477" s="4"/>
      <c r="C477" s="4"/>
      <c r="D477" s="4"/>
      <c r="E477" s="4"/>
    </row>
    <row r="478" spans="1:5" ht="14.25" customHeight="1" x14ac:dyDescent="0.35">
      <c r="A478" s="4"/>
      <c r="B478" s="4"/>
      <c r="C478" s="4"/>
      <c r="D478" s="4"/>
      <c r="E478" s="4"/>
    </row>
    <row r="479" spans="1:5" ht="14.25" customHeight="1" x14ac:dyDescent="0.35">
      <c r="A479" s="4"/>
      <c r="B479" s="4"/>
      <c r="C479" s="4"/>
      <c r="D479" s="4"/>
      <c r="E479" s="4"/>
    </row>
    <row r="480" spans="1:5" ht="14.25" customHeight="1" x14ac:dyDescent="0.35">
      <c r="A480" s="4"/>
      <c r="B480" s="4"/>
      <c r="C480" s="4"/>
      <c r="D480" s="4"/>
      <c r="E480" s="4"/>
    </row>
    <row r="481" spans="1:5" ht="14.25" customHeight="1" x14ac:dyDescent="0.35">
      <c r="A481" s="4"/>
      <c r="B481" s="4"/>
      <c r="C481" s="4"/>
      <c r="D481" s="4"/>
      <c r="E481" s="4"/>
    </row>
    <row r="482" spans="1:5" ht="14.25" customHeight="1" x14ac:dyDescent="0.35">
      <c r="A482" s="4"/>
      <c r="B482" s="4"/>
      <c r="C482" s="4"/>
      <c r="D482" s="4"/>
      <c r="E482" s="4"/>
    </row>
    <row r="483" spans="1:5" ht="14.25" customHeight="1" x14ac:dyDescent="0.35">
      <c r="A483" s="4"/>
      <c r="B483" s="4"/>
      <c r="C483" s="4"/>
      <c r="D483" s="4"/>
      <c r="E483" s="4"/>
    </row>
    <row r="484" spans="1:5" ht="14.25" customHeight="1" x14ac:dyDescent="0.35">
      <c r="A484" s="4"/>
      <c r="B484" s="4"/>
      <c r="C484" s="4"/>
      <c r="D484" s="4"/>
      <c r="E484" s="4"/>
    </row>
    <row r="485" spans="1:5" ht="14.25" customHeight="1" x14ac:dyDescent="0.35">
      <c r="A485" s="4"/>
      <c r="B485" s="4"/>
      <c r="C485" s="4"/>
      <c r="D485" s="4"/>
      <c r="E485" s="4"/>
    </row>
    <row r="486" spans="1:5" ht="14.25" customHeight="1" x14ac:dyDescent="0.35">
      <c r="A486" s="4"/>
      <c r="B486" s="4"/>
      <c r="C486" s="4"/>
      <c r="D486" s="4"/>
      <c r="E486" s="4"/>
    </row>
    <row r="487" spans="1:5" ht="14.25" customHeight="1" x14ac:dyDescent="0.35">
      <c r="A487" s="4"/>
      <c r="B487" s="4"/>
      <c r="C487" s="4"/>
      <c r="D487" s="4"/>
      <c r="E487" s="4"/>
    </row>
    <row r="488" spans="1:5" ht="14.25" customHeight="1" x14ac:dyDescent="0.35">
      <c r="A488" s="4"/>
      <c r="B488" s="4"/>
      <c r="C488" s="4"/>
      <c r="D488" s="4"/>
      <c r="E488" s="4"/>
    </row>
    <row r="489" spans="1:5" ht="14.25" customHeight="1" x14ac:dyDescent="0.35">
      <c r="A489" s="4"/>
      <c r="B489" s="4"/>
      <c r="C489" s="4"/>
      <c r="D489" s="4"/>
      <c r="E489" s="4"/>
    </row>
    <row r="490" spans="1:5" ht="14.25" customHeight="1" x14ac:dyDescent="0.35">
      <c r="A490" s="4"/>
      <c r="B490" s="4"/>
      <c r="C490" s="4"/>
      <c r="D490" s="4"/>
      <c r="E490" s="4"/>
    </row>
    <row r="491" spans="1:5" ht="14.25" customHeight="1" x14ac:dyDescent="0.35">
      <c r="A491" s="4"/>
      <c r="B491" s="4"/>
      <c r="C491" s="4"/>
      <c r="D491" s="4"/>
      <c r="E491" s="4"/>
    </row>
    <row r="492" spans="1:5" ht="14.25" customHeight="1" x14ac:dyDescent="0.35">
      <c r="A492" s="4"/>
      <c r="B492" s="4"/>
      <c r="C492" s="4"/>
      <c r="D492" s="4"/>
      <c r="E492" s="4"/>
    </row>
    <row r="493" spans="1:5" ht="14.25" customHeight="1" x14ac:dyDescent="0.35">
      <c r="A493" s="4"/>
      <c r="B493" s="4"/>
      <c r="C493" s="4"/>
      <c r="D493" s="4"/>
      <c r="E493" s="4"/>
    </row>
    <row r="494" spans="1:5" ht="14.25" customHeight="1" x14ac:dyDescent="0.35">
      <c r="A494" s="4"/>
      <c r="B494" s="4"/>
      <c r="C494" s="4"/>
      <c r="D494" s="4"/>
      <c r="E494" s="4"/>
    </row>
    <row r="495" spans="1:5" ht="14.25" customHeight="1" x14ac:dyDescent="0.35">
      <c r="A495" s="4"/>
      <c r="B495" s="4"/>
      <c r="C495" s="4"/>
      <c r="D495" s="4"/>
      <c r="E495" s="4"/>
    </row>
    <row r="496" spans="1:5" ht="14.25" customHeight="1" x14ac:dyDescent="0.35">
      <c r="A496" s="4"/>
      <c r="B496" s="4"/>
      <c r="C496" s="4"/>
      <c r="D496" s="4"/>
      <c r="E496" s="4"/>
    </row>
    <row r="497" spans="1:5" ht="14.25" customHeight="1" x14ac:dyDescent="0.35">
      <c r="A497" s="4"/>
      <c r="B497" s="4"/>
      <c r="C497" s="4"/>
      <c r="D497" s="4"/>
      <c r="E497" s="4"/>
    </row>
    <row r="498" spans="1:5" ht="14.25" customHeight="1" x14ac:dyDescent="0.35">
      <c r="A498" s="4"/>
      <c r="B498" s="4"/>
      <c r="C498" s="4"/>
      <c r="D498" s="4"/>
      <c r="E498" s="4"/>
    </row>
    <row r="499" spans="1:5" ht="14.25" customHeight="1" x14ac:dyDescent="0.35">
      <c r="A499" s="4"/>
      <c r="B499" s="4"/>
      <c r="C499" s="4"/>
      <c r="D499" s="4"/>
      <c r="E499" s="4"/>
    </row>
    <row r="500" spans="1:5" ht="14.25" customHeight="1" x14ac:dyDescent="0.35">
      <c r="A500" s="4"/>
      <c r="B500" s="4"/>
      <c r="C500" s="4"/>
      <c r="D500" s="4"/>
      <c r="E500" s="4"/>
    </row>
    <row r="501" spans="1:5" ht="14.25" customHeight="1" x14ac:dyDescent="0.35">
      <c r="A501" s="4"/>
      <c r="B501" s="4"/>
      <c r="C501" s="4"/>
      <c r="D501" s="4"/>
      <c r="E501" s="4"/>
    </row>
    <row r="502" spans="1:5" ht="14.25" customHeight="1" x14ac:dyDescent="0.35">
      <c r="A502" s="4"/>
      <c r="B502" s="4"/>
      <c r="C502" s="4"/>
      <c r="D502" s="4"/>
      <c r="E502" s="4"/>
    </row>
    <row r="503" spans="1:5" ht="14.25" customHeight="1" x14ac:dyDescent="0.35">
      <c r="A503" s="4"/>
      <c r="B503" s="4"/>
      <c r="C503" s="4"/>
      <c r="D503" s="4"/>
      <c r="E503" s="4"/>
    </row>
    <row r="504" spans="1:5" ht="14.25" customHeight="1" x14ac:dyDescent="0.35">
      <c r="A504" s="4"/>
      <c r="B504" s="4"/>
      <c r="C504" s="4"/>
      <c r="D504" s="4"/>
      <c r="E504" s="4"/>
    </row>
    <row r="505" spans="1:5" ht="14.25" customHeight="1" x14ac:dyDescent="0.35">
      <c r="A505" s="4"/>
      <c r="B505" s="4"/>
      <c r="C505" s="4"/>
      <c r="D505" s="4"/>
      <c r="E505" s="4"/>
    </row>
    <row r="506" spans="1:5" ht="14.25" customHeight="1" x14ac:dyDescent="0.35">
      <c r="A506" s="4"/>
      <c r="B506" s="4"/>
      <c r="C506" s="4"/>
      <c r="D506" s="4"/>
      <c r="E506" s="4"/>
    </row>
    <row r="507" spans="1:5" ht="14.25" customHeight="1" x14ac:dyDescent="0.35">
      <c r="A507" s="4"/>
      <c r="B507" s="4"/>
      <c r="C507" s="4"/>
      <c r="D507" s="4"/>
      <c r="E507" s="4"/>
    </row>
    <row r="508" spans="1:5" ht="14.25" customHeight="1" x14ac:dyDescent="0.35">
      <c r="A508" s="4"/>
      <c r="B508" s="4"/>
      <c r="C508" s="4"/>
      <c r="D508" s="4"/>
      <c r="E508" s="4"/>
    </row>
    <row r="509" spans="1:5" ht="14.25" customHeight="1" x14ac:dyDescent="0.35">
      <c r="A509" s="4"/>
      <c r="B509" s="4"/>
      <c r="C509" s="4"/>
      <c r="D509" s="4"/>
      <c r="E509" s="4"/>
    </row>
    <row r="510" spans="1:5" ht="14.25" customHeight="1" x14ac:dyDescent="0.35">
      <c r="A510" s="4"/>
      <c r="B510" s="4"/>
      <c r="C510" s="4"/>
      <c r="D510" s="4"/>
      <c r="E510" s="4"/>
    </row>
    <row r="511" spans="1:5" ht="14.25" customHeight="1" x14ac:dyDescent="0.35">
      <c r="A511" s="4"/>
      <c r="B511" s="4"/>
      <c r="C511" s="4"/>
      <c r="D511" s="4"/>
      <c r="E511" s="4"/>
    </row>
    <row r="512" spans="1:5" ht="14.25" customHeight="1" x14ac:dyDescent="0.35">
      <c r="A512" s="4"/>
      <c r="B512" s="4"/>
      <c r="C512" s="4"/>
      <c r="D512" s="4"/>
      <c r="E512" s="4"/>
    </row>
    <row r="513" spans="1:5" ht="14.25" customHeight="1" x14ac:dyDescent="0.35">
      <c r="A513" s="4"/>
      <c r="B513" s="4"/>
      <c r="C513" s="4"/>
      <c r="D513" s="4"/>
      <c r="E513" s="4"/>
    </row>
    <row r="514" spans="1:5" ht="14.25" customHeight="1" x14ac:dyDescent="0.35">
      <c r="A514" s="4"/>
      <c r="B514" s="4"/>
      <c r="C514" s="4"/>
      <c r="D514" s="4"/>
      <c r="E514" s="4"/>
    </row>
    <row r="515" spans="1:5" ht="14.25" customHeight="1" x14ac:dyDescent="0.35">
      <c r="A515" s="4"/>
      <c r="B515" s="4"/>
      <c r="C515" s="4"/>
      <c r="D515" s="4"/>
      <c r="E515" s="4"/>
    </row>
    <row r="516" spans="1:5" ht="14.25" customHeight="1" x14ac:dyDescent="0.35">
      <c r="A516" s="4"/>
      <c r="B516" s="4"/>
      <c r="C516" s="4"/>
      <c r="D516" s="4"/>
      <c r="E516" s="4"/>
    </row>
    <row r="517" spans="1:5" ht="14.25" customHeight="1" x14ac:dyDescent="0.35">
      <c r="A517" s="4"/>
      <c r="B517" s="4"/>
      <c r="C517" s="4"/>
      <c r="D517" s="4"/>
      <c r="E517" s="4"/>
    </row>
    <row r="518" spans="1:5" ht="14.25" customHeight="1" x14ac:dyDescent="0.35">
      <c r="A518" s="4"/>
      <c r="B518" s="4"/>
      <c r="C518" s="4"/>
      <c r="D518" s="4"/>
      <c r="E518" s="4"/>
    </row>
    <row r="519" spans="1:5" ht="14.25" customHeight="1" x14ac:dyDescent="0.35">
      <c r="A519" s="4"/>
      <c r="B519" s="4"/>
      <c r="C519" s="4"/>
      <c r="D519" s="4"/>
      <c r="E519" s="4"/>
    </row>
    <row r="520" spans="1:5" ht="14.25" customHeight="1" x14ac:dyDescent="0.35">
      <c r="A520" s="4"/>
      <c r="B520" s="4"/>
      <c r="C520" s="4"/>
      <c r="D520" s="4"/>
      <c r="E520" s="4"/>
    </row>
    <row r="521" spans="1:5" ht="14.25" customHeight="1" x14ac:dyDescent="0.35">
      <c r="A521" s="4"/>
      <c r="B521" s="4"/>
      <c r="C521" s="4"/>
      <c r="D521" s="4"/>
      <c r="E521" s="4"/>
    </row>
    <row r="522" spans="1:5" ht="14.25" customHeight="1" x14ac:dyDescent="0.35">
      <c r="A522" s="4"/>
      <c r="B522" s="4"/>
      <c r="C522" s="4"/>
      <c r="D522" s="4"/>
      <c r="E522" s="4"/>
    </row>
    <row r="523" spans="1:5" ht="14.25" customHeight="1" x14ac:dyDescent="0.35">
      <c r="A523" s="4"/>
      <c r="B523" s="4"/>
      <c r="C523" s="4"/>
      <c r="D523" s="4"/>
      <c r="E523" s="4"/>
    </row>
    <row r="524" spans="1:5" ht="14.25" customHeight="1" x14ac:dyDescent="0.35">
      <c r="A524" s="4"/>
      <c r="B524" s="4"/>
      <c r="C524" s="4"/>
      <c r="D524" s="4"/>
      <c r="E524" s="4"/>
    </row>
    <row r="525" spans="1:5" ht="14.25" customHeight="1" x14ac:dyDescent="0.35">
      <c r="A525" s="4"/>
      <c r="B525" s="4"/>
      <c r="C525" s="4"/>
      <c r="D525" s="4"/>
      <c r="E525" s="4"/>
    </row>
    <row r="526" spans="1:5" ht="14.25" customHeight="1" x14ac:dyDescent="0.35">
      <c r="A526" s="4"/>
      <c r="B526" s="4"/>
      <c r="C526" s="4"/>
      <c r="D526" s="4"/>
      <c r="E526" s="4"/>
    </row>
    <row r="527" spans="1:5" ht="14.25" customHeight="1" x14ac:dyDescent="0.35">
      <c r="A527" s="4"/>
      <c r="B527" s="4"/>
      <c r="C527" s="4"/>
      <c r="D527" s="4"/>
      <c r="E527" s="4"/>
    </row>
    <row r="528" spans="1:5" ht="14.25" customHeight="1" x14ac:dyDescent="0.35">
      <c r="A528" s="4"/>
      <c r="B528" s="4"/>
      <c r="C528" s="4"/>
      <c r="D528" s="4"/>
      <c r="E528" s="4"/>
    </row>
    <row r="529" spans="1:5" ht="14.25" customHeight="1" x14ac:dyDescent="0.35">
      <c r="A529" s="4"/>
      <c r="B529" s="4"/>
      <c r="C529" s="4"/>
      <c r="D529" s="4"/>
      <c r="E529" s="4"/>
    </row>
    <row r="530" spans="1:5" ht="14.25" customHeight="1" x14ac:dyDescent="0.35">
      <c r="A530" s="4"/>
      <c r="B530" s="4"/>
      <c r="C530" s="4"/>
      <c r="D530" s="4"/>
      <c r="E530" s="4"/>
    </row>
    <row r="531" spans="1:5" ht="14.25" customHeight="1" x14ac:dyDescent="0.35">
      <c r="A531" s="4"/>
      <c r="B531" s="4"/>
      <c r="C531" s="4"/>
      <c r="D531" s="4"/>
      <c r="E531" s="4"/>
    </row>
    <row r="532" spans="1:5" ht="14.25" customHeight="1" x14ac:dyDescent="0.35">
      <c r="A532" s="4"/>
      <c r="B532" s="4"/>
      <c r="C532" s="4"/>
      <c r="D532" s="4"/>
      <c r="E532" s="4"/>
    </row>
    <row r="533" spans="1:5" ht="14.25" customHeight="1" x14ac:dyDescent="0.35">
      <c r="A533" s="4"/>
      <c r="B533" s="4"/>
      <c r="C533" s="4"/>
      <c r="D533" s="4"/>
      <c r="E533" s="4"/>
    </row>
    <row r="534" spans="1:5" ht="14.25" customHeight="1" x14ac:dyDescent="0.35">
      <c r="A534" s="4"/>
      <c r="B534" s="4"/>
      <c r="C534" s="4"/>
      <c r="D534" s="4"/>
      <c r="E534" s="4"/>
    </row>
    <row r="535" spans="1:5" ht="14.25" customHeight="1" x14ac:dyDescent="0.35">
      <c r="A535" s="4"/>
      <c r="B535" s="4"/>
      <c r="C535" s="4"/>
      <c r="D535" s="4"/>
      <c r="E535" s="4"/>
    </row>
    <row r="536" spans="1:5" ht="14.25" customHeight="1" x14ac:dyDescent="0.35">
      <c r="A536" s="4"/>
      <c r="B536" s="4"/>
      <c r="C536" s="4"/>
      <c r="D536" s="4"/>
      <c r="E536" s="4"/>
    </row>
    <row r="537" spans="1:5" ht="14.25" customHeight="1" x14ac:dyDescent="0.35">
      <c r="A537" s="4"/>
      <c r="B537" s="4"/>
      <c r="C537" s="4"/>
      <c r="D537" s="4"/>
      <c r="E537" s="4"/>
    </row>
    <row r="538" spans="1:5" ht="14.25" customHeight="1" x14ac:dyDescent="0.35">
      <c r="A538" s="4"/>
      <c r="B538" s="4"/>
      <c r="C538" s="4"/>
      <c r="D538" s="4"/>
      <c r="E538" s="4"/>
    </row>
    <row r="539" spans="1:5" ht="14.25" customHeight="1" x14ac:dyDescent="0.35">
      <c r="A539" s="4"/>
      <c r="B539" s="4"/>
      <c r="C539" s="4"/>
      <c r="D539" s="4"/>
      <c r="E539" s="4"/>
    </row>
    <row r="540" spans="1:5" ht="14.25" customHeight="1" x14ac:dyDescent="0.35">
      <c r="A540" s="4"/>
      <c r="B540" s="4"/>
      <c r="C540" s="4"/>
      <c r="D540" s="4"/>
      <c r="E540" s="4"/>
    </row>
    <row r="541" spans="1:5" ht="14.25" customHeight="1" x14ac:dyDescent="0.35">
      <c r="A541" s="4"/>
      <c r="B541" s="4"/>
      <c r="C541" s="4"/>
      <c r="D541" s="4"/>
      <c r="E541" s="4"/>
    </row>
    <row r="542" spans="1:5" ht="14.25" customHeight="1" x14ac:dyDescent="0.35">
      <c r="A542" s="4"/>
      <c r="B542" s="4"/>
      <c r="C542" s="4"/>
      <c r="D542" s="4"/>
      <c r="E542" s="4"/>
    </row>
    <row r="543" spans="1:5" ht="14.25" customHeight="1" x14ac:dyDescent="0.35">
      <c r="A543" s="4"/>
      <c r="B543" s="4"/>
      <c r="C543" s="4"/>
      <c r="D543" s="4"/>
      <c r="E543" s="4"/>
    </row>
    <row r="544" spans="1:5" ht="14.25" customHeight="1" x14ac:dyDescent="0.35">
      <c r="A544" s="4"/>
      <c r="B544" s="4"/>
      <c r="C544" s="4"/>
      <c r="D544" s="4"/>
      <c r="E544" s="4"/>
    </row>
    <row r="545" spans="1:5" ht="14.25" customHeight="1" x14ac:dyDescent="0.35">
      <c r="A545" s="4"/>
      <c r="B545" s="4"/>
      <c r="C545" s="4"/>
      <c r="D545" s="4"/>
      <c r="E545" s="4"/>
    </row>
    <row r="546" spans="1:5" ht="14.25" customHeight="1" x14ac:dyDescent="0.35">
      <c r="A546" s="4"/>
      <c r="B546" s="4"/>
      <c r="C546" s="4"/>
      <c r="D546" s="4"/>
      <c r="E546" s="4"/>
    </row>
    <row r="547" spans="1:5" ht="14.25" customHeight="1" x14ac:dyDescent="0.35">
      <c r="A547" s="4"/>
      <c r="B547" s="4"/>
      <c r="C547" s="4"/>
      <c r="D547" s="4"/>
      <c r="E547" s="4"/>
    </row>
    <row r="548" spans="1:5" ht="14.25" customHeight="1" x14ac:dyDescent="0.35">
      <c r="A548" s="4"/>
      <c r="B548" s="4"/>
      <c r="C548" s="4"/>
      <c r="D548" s="4"/>
      <c r="E548" s="4"/>
    </row>
    <row r="549" spans="1:5" ht="14.25" customHeight="1" x14ac:dyDescent="0.35">
      <c r="A549" s="4"/>
      <c r="B549" s="4"/>
      <c r="C549" s="4"/>
      <c r="D549" s="4"/>
      <c r="E549" s="4"/>
    </row>
    <row r="550" spans="1:5" ht="14.25" customHeight="1" x14ac:dyDescent="0.35">
      <c r="A550" s="4"/>
      <c r="B550" s="4"/>
      <c r="C550" s="4"/>
      <c r="D550" s="4"/>
      <c r="E550" s="4"/>
    </row>
    <row r="551" spans="1:5" ht="14.25" customHeight="1" x14ac:dyDescent="0.35">
      <c r="A551" s="4"/>
      <c r="B551" s="4"/>
      <c r="C551" s="4"/>
      <c r="D551" s="4"/>
      <c r="E551" s="4"/>
    </row>
    <row r="552" spans="1:5" ht="14.25" customHeight="1" x14ac:dyDescent="0.35">
      <c r="A552" s="4"/>
      <c r="B552" s="4"/>
      <c r="C552" s="4"/>
      <c r="D552" s="4"/>
      <c r="E552" s="4"/>
    </row>
    <row r="553" spans="1:5" ht="14.25" customHeight="1" x14ac:dyDescent="0.35">
      <c r="A553" s="4"/>
      <c r="B553" s="4"/>
      <c r="C553" s="4"/>
      <c r="D553" s="4"/>
      <c r="E553" s="4"/>
    </row>
    <row r="554" spans="1:5" ht="14.25" customHeight="1" x14ac:dyDescent="0.35">
      <c r="A554" s="4"/>
      <c r="B554" s="4"/>
      <c r="C554" s="4"/>
      <c r="D554" s="4"/>
      <c r="E554" s="4"/>
    </row>
    <row r="555" spans="1:5" ht="14.25" customHeight="1" x14ac:dyDescent="0.35">
      <c r="A555" s="4"/>
      <c r="B555" s="4"/>
      <c r="C555" s="4"/>
      <c r="D555" s="4"/>
      <c r="E555" s="4"/>
    </row>
    <row r="556" spans="1:5" ht="14.25" customHeight="1" x14ac:dyDescent="0.35">
      <c r="A556" s="4"/>
      <c r="B556" s="4"/>
      <c r="C556" s="4"/>
      <c r="D556" s="4"/>
      <c r="E556" s="4"/>
    </row>
    <row r="557" spans="1:5" ht="14.25" customHeight="1" x14ac:dyDescent="0.35">
      <c r="A557" s="4"/>
      <c r="B557" s="4"/>
      <c r="C557" s="4"/>
      <c r="D557" s="4"/>
      <c r="E557" s="4"/>
    </row>
    <row r="558" spans="1:5" ht="14.25" customHeight="1" x14ac:dyDescent="0.35">
      <c r="A558" s="4"/>
      <c r="B558" s="4"/>
      <c r="C558" s="4"/>
      <c r="D558" s="4"/>
      <c r="E558" s="4"/>
    </row>
    <row r="559" spans="1:5" ht="14.25" customHeight="1" x14ac:dyDescent="0.35">
      <c r="A559" s="4"/>
      <c r="B559" s="4"/>
      <c r="C559" s="4"/>
      <c r="D559" s="4"/>
      <c r="E559" s="4"/>
    </row>
    <row r="560" spans="1:5" ht="14.25" customHeight="1" x14ac:dyDescent="0.35">
      <c r="A560" s="4"/>
      <c r="B560" s="4"/>
      <c r="C560" s="4"/>
      <c r="D560" s="4"/>
      <c r="E560" s="4"/>
    </row>
    <row r="561" spans="1:5" ht="14.25" customHeight="1" x14ac:dyDescent="0.35">
      <c r="A561" s="4"/>
      <c r="B561" s="4"/>
      <c r="C561" s="4"/>
      <c r="D561" s="4"/>
      <c r="E561" s="4"/>
    </row>
    <row r="562" spans="1:5" ht="14.25" customHeight="1" x14ac:dyDescent="0.35">
      <c r="A562" s="4"/>
      <c r="B562" s="4"/>
      <c r="C562" s="4"/>
      <c r="D562" s="4"/>
      <c r="E562" s="4"/>
    </row>
    <row r="563" spans="1:5" ht="14.25" customHeight="1" x14ac:dyDescent="0.35">
      <c r="A563" s="4"/>
      <c r="B563" s="4"/>
      <c r="C563" s="4"/>
      <c r="D563" s="4"/>
      <c r="E563" s="4"/>
    </row>
    <row r="564" spans="1:5" ht="14.25" customHeight="1" x14ac:dyDescent="0.35">
      <c r="A564" s="4"/>
      <c r="B564" s="4"/>
      <c r="C564" s="4"/>
      <c r="D564" s="4"/>
      <c r="E564" s="4"/>
    </row>
    <row r="565" spans="1:5" ht="14.25" customHeight="1" x14ac:dyDescent="0.35">
      <c r="A565" s="4"/>
      <c r="B565" s="4"/>
      <c r="C565" s="4"/>
      <c r="D565" s="4"/>
      <c r="E565" s="4"/>
    </row>
    <row r="566" spans="1:5" ht="14.25" customHeight="1" x14ac:dyDescent="0.35">
      <c r="A566" s="4"/>
      <c r="B566" s="4"/>
      <c r="C566" s="4"/>
      <c r="D566" s="4"/>
      <c r="E566" s="4"/>
    </row>
    <row r="567" spans="1:5" ht="14.25" customHeight="1" x14ac:dyDescent="0.35">
      <c r="A567" s="4"/>
      <c r="B567" s="4"/>
      <c r="C567" s="4"/>
      <c r="D567" s="4"/>
      <c r="E567" s="4"/>
    </row>
    <row r="568" spans="1:5" ht="14.25" customHeight="1" x14ac:dyDescent="0.35">
      <c r="A568" s="4"/>
      <c r="B568" s="4"/>
      <c r="C568" s="4"/>
      <c r="D568" s="4"/>
      <c r="E568" s="4"/>
    </row>
    <row r="569" spans="1:5" ht="14.25" customHeight="1" x14ac:dyDescent="0.35">
      <c r="A569" s="4"/>
      <c r="B569" s="4"/>
      <c r="C569" s="4"/>
      <c r="D569" s="4"/>
      <c r="E569" s="4"/>
    </row>
    <row r="570" spans="1:5" ht="14.25" customHeight="1" x14ac:dyDescent="0.35">
      <c r="A570" s="4"/>
      <c r="B570" s="4"/>
      <c r="C570" s="4"/>
      <c r="D570" s="4"/>
      <c r="E570" s="4"/>
    </row>
    <row r="571" spans="1:5" ht="14.25" customHeight="1" x14ac:dyDescent="0.35">
      <c r="A571" s="4"/>
      <c r="B571" s="4"/>
      <c r="C571" s="4"/>
      <c r="D571" s="4"/>
      <c r="E571" s="4"/>
    </row>
    <row r="572" spans="1:5" ht="14.25" customHeight="1" x14ac:dyDescent="0.35">
      <c r="A572" s="4"/>
      <c r="B572" s="4"/>
      <c r="C572" s="4"/>
      <c r="D572" s="4"/>
      <c r="E572" s="4"/>
    </row>
    <row r="573" spans="1:5" ht="14.25" customHeight="1" x14ac:dyDescent="0.35">
      <c r="A573" s="4"/>
      <c r="B573" s="4"/>
      <c r="C573" s="4"/>
      <c r="D573" s="4"/>
      <c r="E573" s="4"/>
    </row>
    <row r="574" spans="1:5" ht="14.25" customHeight="1" x14ac:dyDescent="0.35">
      <c r="A574" s="4"/>
      <c r="B574" s="4"/>
      <c r="C574" s="4"/>
      <c r="D574" s="4"/>
      <c r="E574" s="4"/>
    </row>
    <row r="575" spans="1:5" ht="14.25" customHeight="1" x14ac:dyDescent="0.35">
      <c r="A575" s="4"/>
      <c r="B575" s="4"/>
      <c r="C575" s="4"/>
      <c r="D575" s="4"/>
      <c r="E575" s="4"/>
    </row>
    <row r="576" spans="1:5" ht="14.25" customHeight="1" x14ac:dyDescent="0.35">
      <c r="A576" s="4"/>
      <c r="B576" s="4"/>
      <c r="C576" s="4"/>
      <c r="D576" s="4"/>
      <c r="E576" s="4"/>
    </row>
    <row r="577" spans="1:5" ht="14.25" customHeight="1" x14ac:dyDescent="0.35">
      <c r="A577" s="4"/>
      <c r="B577" s="4"/>
      <c r="C577" s="4"/>
      <c r="D577" s="4"/>
      <c r="E577" s="4"/>
    </row>
    <row r="578" spans="1:5" ht="14.25" customHeight="1" x14ac:dyDescent="0.35">
      <c r="A578" s="4"/>
      <c r="B578" s="4"/>
      <c r="C578" s="4"/>
      <c r="D578" s="4"/>
      <c r="E578" s="4"/>
    </row>
    <row r="579" spans="1:5" ht="14.25" customHeight="1" x14ac:dyDescent="0.35">
      <c r="A579" s="4"/>
      <c r="B579" s="4"/>
      <c r="C579" s="4"/>
      <c r="D579" s="4"/>
      <c r="E579" s="4"/>
    </row>
    <row r="580" spans="1:5" ht="14.25" customHeight="1" x14ac:dyDescent="0.35">
      <c r="A580" s="4"/>
      <c r="B580" s="4"/>
      <c r="C580" s="4"/>
      <c r="D580" s="4"/>
      <c r="E580" s="4"/>
    </row>
    <row r="581" spans="1:5" ht="14.25" customHeight="1" x14ac:dyDescent="0.35">
      <c r="A581" s="4"/>
      <c r="B581" s="4"/>
      <c r="C581" s="4"/>
      <c r="D581" s="4"/>
      <c r="E581" s="4"/>
    </row>
    <row r="582" spans="1:5" ht="14.25" customHeight="1" x14ac:dyDescent="0.35">
      <c r="A582" s="4"/>
      <c r="B582" s="4"/>
      <c r="C582" s="4"/>
      <c r="D582" s="4"/>
      <c r="E582" s="4"/>
    </row>
    <row r="583" spans="1:5" ht="14.25" customHeight="1" x14ac:dyDescent="0.35">
      <c r="A583" s="4"/>
      <c r="B583" s="4"/>
      <c r="C583" s="4"/>
      <c r="D583" s="4"/>
      <c r="E583" s="4"/>
    </row>
    <row r="584" spans="1:5" ht="14.25" customHeight="1" x14ac:dyDescent="0.35">
      <c r="A584" s="4"/>
      <c r="B584" s="4"/>
      <c r="C584" s="4"/>
      <c r="D584" s="4"/>
      <c r="E584" s="4"/>
    </row>
    <row r="585" spans="1:5" ht="14.25" customHeight="1" x14ac:dyDescent="0.35">
      <c r="A585" s="4"/>
      <c r="B585" s="4"/>
      <c r="C585" s="4"/>
      <c r="D585" s="4"/>
      <c r="E585" s="4"/>
    </row>
    <row r="586" spans="1:5" ht="14.25" customHeight="1" x14ac:dyDescent="0.35">
      <c r="A586" s="4"/>
      <c r="B586" s="4"/>
      <c r="C586" s="4"/>
      <c r="D586" s="4"/>
      <c r="E586" s="4"/>
    </row>
    <row r="587" spans="1:5" ht="14.25" customHeight="1" x14ac:dyDescent="0.35">
      <c r="A587" s="4"/>
      <c r="B587" s="4"/>
      <c r="C587" s="4"/>
      <c r="D587" s="4"/>
      <c r="E587" s="4"/>
    </row>
    <row r="588" spans="1:5" ht="14.25" customHeight="1" x14ac:dyDescent="0.35">
      <c r="A588" s="4"/>
      <c r="B588" s="4"/>
      <c r="C588" s="4"/>
      <c r="D588" s="4"/>
      <c r="E588" s="4"/>
    </row>
    <row r="589" spans="1:5" ht="14.25" customHeight="1" x14ac:dyDescent="0.35">
      <c r="A589" s="4"/>
      <c r="B589" s="4"/>
      <c r="C589" s="4"/>
      <c r="D589" s="4"/>
      <c r="E589" s="4"/>
    </row>
    <row r="590" spans="1:5" ht="14.25" customHeight="1" x14ac:dyDescent="0.35">
      <c r="A590" s="4"/>
      <c r="B590" s="4"/>
      <c r="C590" s="4"/>
      <c r="D590" s="4"/>
      <c r="E590" s="4"/>
    </row>
    <row r="591" spans="1:5" ht="14.25" customHeight="1" x14ac:dyDescent="0.35">
      <c r="A591" s="4"/>
      <c r="B591" s="4"/>
      <c r="C591" s="4"/>
      <c r="D591" s="4"/>
      <c r="E591" s="4"/>
    </row>
    <row r="592" spans="1:5" ht="14.25" customHeight="1" x14ac:dyDescent="0.35">
      <c r="A592" s="4"/>
      <c r="B592" s="4"/>
      <c r="C592" s="4"/>
      <c r="D592" s="4"/>
      <c r="E592" s="4"/>
    </row>
    <row r="593" spans="1:5" ht="14.25" customHeight="1" x14ac:dyDescent="0.35">
      <c r="A593" s="4"/>
      <c r="B593" s="4"/>
      <c r="C593" s="4"/>
      <c r="D593" s="4"/>
      <c r="E593" s="4"/>
    </row>
    <row r="594" spans="1:5" ht="14.25" customHeight="1" x14ac:dyDescent="0.35">
      <c r="A594" s="4"/>
      <c r="B594" s="4"/>
      <c r="C594" s="4"/>
      <c r="D594" s="4"/>
      <c r="E594" s="4"/>
    </row>
    <row r="595" spans="1:5" ht="14.25" customHeight="1" x14ac:dyDescent="0.35">
      <c r="A595" s="4"/>
      <c r="B595" s="4"/>
      <c r="C595" s="4"/>
      <c r="D595" s="4"/>
      <c r="E595" s="4"/>
    </row>
    <row r="596" spans="1:5" ht="14.25" customHeight="1" x14ac:dyDescent="0.35">
      <c r="A596" s="4"/>
      <c r="B596" s="4"/>
      <c r="C596" s="4"/>
      <c r="D596" s="4"/>
      <c r="E596" s="4"/>
    </row>
    <row r="597" spans="1:5" ht="14.25" customHeight="1" x14ac:dyDescent="0.35">
      <c r="A597" s="4"/>
      <c r="B597" s="4"/>
      <c r="C597" s="4"/>
      <c r="D597" s="4"/>
      <c r="E597" s="4"/>
    </row>
    <row r="598" spans="1:5" ht="14.25" customHeight="1" x14ac:dyDescent="0.35">
      <c r="A598" s="4"/>
      <c r="B598" s="4"/>
      <c r="C598" s="4"/>
      <c r="D598" s="4"/>
      <c r="E598" s="4"/>
    </row>
    <row r="599" spans="1:5" ht="14.25" customHeight="1" x14ac:dyDescent="0.35">
      <c r="A599" s="4"/>
      <c r="B599" s="4"/>
      <c r="C599" s="4"/>
      <c r="D599" s="4"/>
      <c r="E599" s="4"/>
    </row>
    <row r="600" spans="1:5" ht="14.25" customHeight="1" x14ac:dyDescent="0.35">
      <c r="A600" s="4"/>
      <c r="B600" s="4"/>
      <c r="C600" s="4"/>
      <c r="D600" s="4"/>
      <c r="E600" s="4"/>
    </row>
    <row r="601" spans="1:5" ht="14.25" customHeight="1" x14ac:dyDescent="0.35">
      <c r="A601" s="4"/>
      <c r="B601" s="4"/>
      <c r="C601" s="4"/>
      <c r="D601" s="4"/>
      <c r="E601" s="4"/>
    </row>
    <row r="602" spans="1:5" ht="14.25" customHeight="1" x14ac:dyDescent="0.35">
      <c r="A602" s="4"/>
      <c r="B602" s="4"/>
      <c r="C602" s="4"/>
      <c r="D602" s="4"/>
      <c r="E602" s="4"/>
    </row>
    <row r="603" spans="1:5" ht="14.25" customHeight="1" x14ac:dyDescent="0.35">
      <c r="A603" s="4"/>
      <c r="B603" s="4"/>
      <c r="C603" s="4"/>
      <c r="D603" s="4"/>
      <c r="E603" s="4"/>
    </row>
    <row r="604" spans="1:5" ht="14.25" customHeight="1" x14ac:dyDescent="0.35">
      <c r="A604" s="4"/>
      <c r="B604" s="4"/>
      <c r="C604" s="4"/>
      <c r="D604" s="4"/>
      <c r="E604" s="4"/>
    </row>
    <row r="605" spans="1:5" ht="14.25" customHeight="1" x14ac:dyDescent="0.35">
      <c r="A605" s="4"/>
      <c r="B605" s="4"/>
      <c r="C605" s="4"/>
      <c r="D605" s="4"/>
      <c r="E605" s="4"/>
    </row>
    <row r="606" spans="1:5" ht="14.25" customHeight="1" x14ac:dyDescent="0.35">
      <c r="A606" s="4"/>
      <c r="B606" s="4"/>
      <c r="C606" s="4"/>
      <c r="D606" s="4"/>
      <c r="E606" s="4"/>
    </row>
    <row r="607" spans="1:5" ht="14.25" customHeight="1" x14ac:dyDescent="0.35">
      <c r="A607" s="4"/>
      <c r="B607" s="4"/>
      <c r="C607" s="4"/>
      <c r="D607" s="4"/>
      <c r="E607" s="4"/>
    </row>
    <row r="608" spans="1:5" ht="14.25" customHeight="1" x14ac:dyDescent="0.35">
      <c r="A608" s="4"/>
      <c r="B608" s="4"/>
      <c r="C608" s="4"/>
      <c r="D608" s="4"/>
      <c r="E608" s="4"/>
    </row>
    <row r="609" spans="1:5" ht="14.25" customHeight="1" x14ac:dyDescent="0.35">
      <c r="A609" s="4"/>
      <c r="B609" s="4"/>
      <c r="C609" s="4"/>
      <c r="D609" s="4"/>
      <c r="E609" s="4"/>
    </row>
    <row r="610" spans="1:5" ht="14.25" customHeight="1" x14ac:dyDescent="0.35">
      <c r="A610" s="4"/>
      <c r="B610" s="4"/>
      <c r="C610" s="4"/>
      <c r="D610" s="4"/>
      <c r="E610" s="4"/>
    </row>
    <row r="611" spans="1:5" ht="14.25" customHeight="1" x14ac:dyDescent="0.35">
      <c r="A611" s="4"/>
      <c r="B611" s="4"/>
      <c r="C611" s="4"/>
      <c r="D611" s="4"/>
      <c r="E611" s="4"/>
    </row>
    <row r="612" spans="1:5" ht="14.25" customHeight="1" x14ac:dyDescent="0.35">
      <c r="A612" s="4"/>
      <c r="B612" s="4"/>
      <c r="C612" s="4"/>
      <c r="D612" s="4"/>
      <c r="E612" s="4"/>
    </row>
    <row r="613" spans="1:5" ht="14.25" customHeight="1" x14ac:dyDescent="0.35">
      <c r="A613" s="4"/>
      <c r="B613" s="4"/>
      <c r="C613" s="4"/>
      <c r="D613" s="4"/>
      <c r="E613" s="4"/>
    </row>
    <row r="614" spans="1:5" ht="14.25" customHeight="1" x14ac:dyDescent="0.35">
      <c r="A614" s="4"/>
      <c r="B614" s="4"/>
      <c r="C614" s="4"/>
      <c r="D614" s="4"/>
      <c r="E614" s="4"/>
    </row>
    <row r="615" spans="1:5" ht="14.25" customHeight="1" x14ac:dyDescent="0.35">
      <c r="A615" s="4"/>
      <c r="B615" s="4"/>
      <c r="C615" s="4"/>
      <c r="D615" s="4"/>
      <c r="E615" s="4"/>
    </row>
    <row r="616" spans="1:5" ht="14.25" customHeight="1" x14ac:dyDescent="0.35">
      <c r="A616" s="4"/>
      <c r="B616" s="4"/>
      <c r="C616" s="4"/>
      <c r="D616" s="4"/>
      <c r="E616" s="4"/>
    </row>
    <row r="617" spans="1:5" ht="14.25" customHeight="1" x14ac:dyDescent="0.35">
      <c r="A617" s="4"/>
      <c r="B617" s="4"/>
      <c r="C617" s="4"/>
      <c r="D617" s="4"/>
      <c r="E617" s="4"/>
    </row>
    <row r="618" spans="1:5" ht="14.25" customHeight="1" x14ac:dyDescent="0.35">
      <c r="A618" s="4"/>
      <c r="B618" s="4"/>
      <c r="C618" s="4"/>
      <c r="D618" s="4"/>
      <c r="E618" s="4"/>
    </row>
    <row r="619" spans="1:5" ht="14.25" customHeight="1" x14ac:dyDescent="0.35">
      <c r="A619" s="4"/>
      <c r="B619" s="4"/>
      <c r="C619" s="4"/>
      <c r="D619" s="4"/>
      <c r="E619" s="4"/>
    </row>
    <row r="620" spans="1:5" ht="14.25" customHeight="1" x14ac:dyDescent="0.35">
      <c r="A620" s="4"/>
      <c r="B620" s="4"/>
      <c r="C620" s="4"/>
      <c r="D620" s="4"/>
      <c r="E620" s="4"/>
    </row>
    <row r="621" spans="1:5" ht="14.25" customHeight="1" x14ac:dyDescent="0.35">
      <c r="A621" s="4"/>
      <c r="B621" s="4"/>
      <c r="C621" s="4"/>
      <c r="D621" s="4"/>
      <c r="E621" s="4"/>
    </row>
    <row r="622" spans="1:5" ht="14.25" customHeight="1" x14ac:dyDescent="0.35">
      <c r="A622" s="4"/>
      <c r="B622" s="4"/>
      <c r="C622" s="4"/>
      <c r="D622" s="4"/>
      <c r="E622" s="4"/>
    </row>
    <row r="623" spans="1:5" ht="14.25" customHeight="1" x14ac:dyDescent="0.35">
      <c r="A623" s="4"/>
      <c r="B623" s="4"/>
      <c r="C623" s="4"/>
      <c r="D623" s="4"/>
      <c r="E623" s="4"/>
    </row>
    <row r="624" spans="1:5" ht="14.25" customHeight="1" x14ac:dyDescent="0.35">
      <c r="A624" s="4"/>
      <c r="B624" s="4"/>
      <c r="C624" s="4"/>
      <c r="D624" s="4"/>
      <c r="E624" s="4"/>
    </row>
    <row r="625" spans="1:5" ht="14.25" customHeight="1" x14ac:dyDescent="0.35">
      <c r="A625" s="4"/>
      <c r="B625" s="4"/>
      <c r="C625" s="4"/>
      <c r="D625" s="4"/>
      <c r="E625" s="4"/>
    </row>
    <row r="626" spans="1:5" ht="14.25" customHeight="1" x14ac:dyDescent="0.35">
      <c r="A626" s="4"/>
      <c r="B626" s="4"/>
      <c r="C626" s="4"/>
      <c r="D626" s="4"/>
      <c r="E626" s="4"/>
    </row>
    <row r="627" spans="1:5" ht="14.25" customHeight="1" x14ac:dyDescent="0.35">
      <c r="A627" s="4"/>
      <c r="B627" s="4"/>
      <c r="C627" s="4"/>
      <c r="D627" s="4"/>
      <c r="E627" s="4"/>
    </row>
    <row r="628" spans="1:5" ht="14.25" customHeight="1" x14ac:dyDescent="0.35">
      <c r="A628" s="4"/>
      <c r="B628" s="4"/>
      <c r="C628" s="4"/>
      <c r="D628" s="4"/>
      <c r="E628" s="4"/>
    </row>
    <row r="629" spans="1:5" ht="14.25" customHeight="1" x14ac:dyDescent="0.35">
      <c r="A629" s="4"/>
      <c r="B629" s="4"/>
      <c r="C629" s="4"/>
      <c r="D629" s="4"/>
      <c r="E629" s="4"/>
    </row>
    <row r="630" spans="1:5" ht="14.25" customHeight="1" x14ac:dyDescent="0.35">
      <c r="A630" s="4"/>
      <c r="B630" s="4"/>
      <c r="C630" s="4"/>
      <c r="D630" s="4"/>
      <c r="E630" s="4"/>
    </row>
    <row r="631" spans="1:5" ht="14.25" customHeight="1" x14ac:dyDescent="0.35">
      <c r="A631" s="4"/>
      <c r="B631" s="4"/>
      <c r="C631" s="4"/>
      <c r="D631" s="4"/>
      <c r="E631" s="4"/>
    </row>
    <row r="632" spans="1:5" ht="14.25" customHeight="1" x14ac:dyDescent="0.35">
      <c r="A632" s="4"/>
      <c r="B632" s="4"/>
      <c r="C632" s="4"/>
      <c r="D632" s="4"/>
      <c r="E632" s="4"/>
    </row>
    <row r="633" spans="1:5" ht="14.25" customHeight="1" x14ac:dyDescent="0.35">
      <c r="A633" s="4"/>
      <c r="B633" s="4"/>
      <c r="C633" s="4"/>
      <c r="D633" s="4"/>
      <c r="E633" s="4"/>
    </row>
    <row r="634" spans="1:5" ht="14.25" customHeight="1" x14ac:dyDescent="0.35">
      <c r="A634" s="4"/>
      <c r="B634" s="4"/>
      <c r="C634" s="4"/>
      <c r="D634" s="4"/>
      <c r="E634" s="4"/>
    </row>
    <row r="635" spans="1:5" ht="14.25" customHeight="1" x14ac:dyDescent="0.35">
      <c r="A635" s="4"/>
      <c r="B635" s="4"/>
      <c r="C635" s="4"/>
      <c r="D635" s="4"/>
      <c r="E635" s="4"/>
    </row>
    <row r="636" spans="1:5" ht="14.25" customHeight="1" x14ac:dyDescent="0.35">
      <c r="A636" s="4"/>
      <c r="B636" s="4"/>
      <c r="C636" s="4"/>
      <c r="D636" s="4"/>
      <c r="E636" s="4"/>
    </row>
    <row r="637" spans="1:5" ht="14.25" customHeight="1" x14ac:dyDescent="0.35">
      <c r="A637" s="4"/>
      <c r="B637" s="4"/>
      <c r="C637" s="4"/>
      <c r="D637" s="4"/>
      <c r="E637" s="4"/>
    </row>
    <row r="638" spans="1:5" ht="14.25" customHeight="1" x14ac:dyDescent="0.35">
      <c r="A638" s="4"/>
      <c r="B638" s="4"/>
      <c r="C638" s="4"/>
      <c r="D638" s="4"/>
      <c r="E638" s="4"/>
    </row>
    <row r="639" spans="1:5" ht="14.25" customHeight="1" x14ac:dyDescent="0.35">
      <c r="A639" s="4"/>
      <c r="B639" s="4"/>
      <c r="C639" s="4"/>
      <c r="D639" s="4"/>
      <c r="E639" s="4"/>
    </row>
    <row r="640" spans="1:5" ht="14.25" customHeight="1" x14ac:dyDescent="0.35">
      <c r="A640" s="4"/>
      <c r="B640" s="4"/>
      <c r="C640" s="4"/>
      <c r="D640" s="4"/>
      <c r="E640" s="4"/>
    </row>
    <row r="641" spans="1:5" ht="14.25" customHeight="1" x14ac:dyDescent="0.35">
      <c r="A641" s="4"/>
      <c r="B641" s="4"/>
      <c r="C641" s="4"/>
      <c r="D641" s="4"/>
      <c r="E641" s="4"/>
    </row>
    <row r="642" spans="1:5" ht="14.25" customHeight="1" x14ac:dyDescent="0.35">
      <c r="A642" s="4"/>
      <c r="B642" s="4"/>
      <c r="C642" s="4"/>
      <c r="D642" s="4"/>
      <c r="E642" s="4"/>
    </row>
    <row r="643" spans="1:5" ht="14.25" customHeight="1" x14ac:dyDescent="0.35">
      <c r="A643" s="4"/>
      <c r="B643" s="4"/>
      <c r="C643" s="4"/>
      <c r="D643" s="4"/>
      <c r="E643" s="4"/>
    </row>
    <row r="644" spans="1:5" ht="14.25" customHeight="1" x14ac:dyDescent="0.35">
      <c r="A644" s="4"/>
      <c r="B644" s="4"/>
      <c r="C644" s="4"/>
      <c r="D644" s="4"/>
      <c r="E644" s="4"/>
    </row>
    <row r="645" spans="1:5" ht="14.25" customHeight="1" x14ac:dyDescent="0.35">
      <c r="A645" s="4"/>
      <c r="B645" s="4"/>
      <c r="C645" s="4"/>
      <c r="D645" s="4"/>
      <c r="E645" s="4"/>
    </row>
    <row r="646" spans="1:5" ht="14.25" customHeight="1" x14ac:dyDescent="0.35">
      <c r="A646" s="4"/>
      <c r="B646" s="4"/>
      <c r="C646" s="4"/>
      <c r="D646" s="4"/>
      <c r="E646" s="4"/>
    </row>
    <row r="647" spans="1:5" ht="14.25" customHeight="1" x14ac:dyDescent="0.35">
      <c r="A647" s="4"/>
      <c r="B647" s="4"/>
      <c r="C647" s="4"/>
      <c r="D647" s="4"/>
      <c r="E647" s="4"/>
    </row>
    <row r="648" spans="1:5" ht="14.25" customHeight="1" x14ac:dyDescent="0.35">
      <c r="A648" s="4"/>
      <c r="B648" s="4"/>
      <c r="C648" s="4"/>
      <c r="D648" s="4"/>
      <c r="E648" s="4"/>
    </row>
    <row r="649" spans="1:5" ht="14.25" customHeight="1" x14ac:dyDescent="0.35">
      <c r="A649" s="4"/>
      <c r="B649" s="4"/>
      <c r="C649" s="4"/>
      <c r="D649" s="4"/>
      <c r="E649" s="4"/>
    </row>
    <row r="650" spans="1:5" ht="14.25" customHeight="1" x14ac:dyDescent="0.35">
      <c r="A650" s="4"/>
      <c r="B650" s="4"/>
      <c r="C650" s="4"/>
      <c r="D650" s="4"/>
      <c r="E650" s="4"/>
    </row>
    <row r="651" spans="1:5" ht="14.25" customHeight="1" x14ac:dyDescent="0.35">
      <c r="A651" s="4"/>
      <c r="B651" s="4"/>
      <c r="C651" s="4"/>
      <c r="D651" s="4"/>
      <c r="E651" s="4"/>
    </row>
    <row r="652" spans="1:5" ht="14.25" customHeight="1" x14ac:dyDescent="0.35">
      <c r="A652" s="4"/>
      <c r="B652" s="4"/>
      <c r="C652" s="4"/>
      <c r="D652" s="4"/>
      <c r="E652" s="4"/>
    </row>
    <row r="653" spans="1:5" ht="14.25" customHeight="1" x14ac:dyDescent="0.35">
      <c r="A653" s="4"/>
      <c r="B653" s="4"/>
      <c r="C653" s="4"/>
      <c r="D653" s="4"/>
      <c r="E653" s="4"/>
    </row>
    <row r="654" spans="1:5" ht="14.25" customHeight="1" x14ac:dyDescent="0.35">
      <c r="A654" s="4"/>
      <c r="B654" s="4"/>
      <c r="C654" s="4"/>
      <c r="D654" s="4"/>
      <c r="E654" s="4"/>
    </row>
    <row r="655" spans="1:5" ht="14.25" customHeight="1" x14ac:dyDescent="0.35">
      <c r="A655" s="4"/>
      <c r="B655" s="4"/>
      <c r="C655" s="4"/>
      <c r="D655" s="4"/>
      <c r="E655" s="4"/>
    </row>
    <row r="656" spans="1:5" ht="14.25" customHeight="1" x14ac:dyDescent="0.35">
      <c r="A656" s="4"/>
      <c r="B656" s="4"/>
      <c r="C656" s="4"/>
      <c r="D656" s="4"/>
      <c r="E656" s="4"/>
    </row>
    <row r="657" spans="1:5" ht="14.25" customHeight="1" x14ac:dyDescent="0.35">
      <c r="A657" s="4"/>
      <c r="B657" s="4"/>
      <c r="C657" s="4"/>
      <c r="D657" s="4"/>
      <c r="E657" s="4"/>
    </row>
    <row r="658" spans="1:5" ht="14.25" customHeight="1" x14ac:dyDescent="0.35">
      <c r="A658" s="4"/>
      <c r="B658" s="4"/>
      <c r="C658" s="4"/>
      <c r="D658" s="4"/>
      <c r="E658" s="4"/>
    </row>
    <row r="659" spans="1:5" ht="14.25" customHeight="1" x14ac:dyDescent="0.35">
      <c r="A659" s="4"/>
      <c r="B659" s="4"/>
      <c r="C659" s="4"/>
      <c r="D659" s="4"/>
      <c r="E659" s="4"/>
    </row>
    <row r="660" spans="1:5" ht="14.25" customHeight="1" x14ac:dyDescent="0.35">
      <c r="A660" s="4"/>
      <c r="B660" s="4"/>
      <c r="C660" s="4"/>
      <c r="D660" s="4"/>
      <c r="E660" s="4"/>
    </row>
    <row r="661" spans="1:5" ht="14.25" customHeight="1" x14ac:dyDescent="0.35">
      <c r="A661" s="4"/>
      <c r="B661" s="4"/>
      <c r="C661" s="4"/>
      <c r="D661" s="4"/>
      <c r="E661" s="4"/>
    </row>
    <row r="662" spans="1:5" ht="14.25" customHeight="1" x14ac:dyDescent="0.35">
      <c r="A662" s="4"/>
      <c r="B662" s="4"/>
      <c r="C662" s="4"/>
      <c r="D662" s="4"/>
      <c r="E662" s="4"/>
    </row>
    <row r="663" spans="1:5" ht="14.25" customHeight="1" x14ac:dyDescent="0.35">
      <c r="A663" s="4"/>
      <c r="B663" s="4"/>
      <c r="C663" s="4"/>
      <c r="D663" s="4"/>
      <c r="E663" s="4"/>
    </row>
    <row r="664" spans="1:5" ht="14.25" customHeight="1" x14ac:dyDescent="0.35">
      <c r="A664" s="4"/>
      <c r="B664" s="4"/>
      <c r="C664" s="4"/>
      <c r="D664" s="4"/>
      <c r="E664" s="4"/>
    </row>
    <row r="665" spans="1:5" ht="14.25" customHeight="1" x14ac:dyDescent="0.35">
      <c r="A665" s="4"/>
      <c r="B665" s="4"/>
      <c r="C665" s="4"/>
      <c r="D665" s="4"/>
      <c r="E665" s="4"/>
    </row>
    <row r="666" spans="1:5" ht="14.25" customHeight="1" x14ac:dyDescent="0.35">
      <c r="A666" s="4"/>
      <c r="B666" s="4"/>
      <c r="C666" s="4"/>
      <c r="D666" s="4"/>
      <c r="E666" s="4"/>
    </row>
    <row r="667" spans="1:5" ht="14.25" customHeight="1" x14ac:dyDescent="0.35">
      <c r="A667" s="4"/>
      <c r="B667" s="4"/>
      <c r="C667" s="4"/>
      <c r="D667" s="4"/>
      <c r="E667" s="4"/>
    </row>
    <row r="668" spans="1:5" ht="14.25" customHeight="1" x14ac:dyDescent="0.35">
      <c r="A668" s="4"/>
      <c r="B668" s="4"/>
      <c r="C668" s="4"/>
      <c r="D668" s="4"/>
      <c r="E668" s="4"/>
    </row>
    <row r="669" spans="1:5" ht="14.25" customHeight="1" x14ac:dyDescent="0.35">
      <c r="A669" s="4"/>
      <c r="B669" s="4"/>
      <c r="C669" s="4"/>
      <c r="D669" s="4"/>
      <c r="E669" s="4"/>
    </row>
    <row r="670" spans="1:5" ht="14.25" customHeight="1" x14ac:dyDescent="0.35">
      <c r="A670" s="4"/>
      <c r="B670" s="4"/>
      <c r="C670" s="4"/>
      <c r="D670" s="4"/>
      <c r="E670" s="4"/>
    </row>
    <row r="671" spans="1:5" ht="14.25" customHeight="1" x14ac:dyDescent="0.35">
      <c r="A671" s="4"/>
      <c r="B671" s="4"/>
      <c r="C671" s="4"/>
      <c r="D671" s="4"/>
      <c r="E671" s="4"/>
    </row>
    <row r="672" spans="1:5" ht="14.25" customHeight="1" x14ac:dyDescent="0.35">
      <c r="A672" s="4"/>
      <c r="B672" s="4"/>
      <c r="C672" s="4"/>
      <c r="D672" s="4"/>
      <c r="E672" s="4"/>
    </row>
    <row r="673" spans="1:5" ht="14.25" customHeight="1" x14ac:dyDescent="0.35">
      <c r="A673" s="4"/>
      <c r="B673" s="4"/>
      <c r="C673" s="4"/>
      <c r="D673" s="4"/>
      <c r="E673" s="4"/>
    </row>
    <row r="674" spans="1:5" ht="14.25" customHeight="1" x14ac:dyDescent="0.35">
      <c r="A674" s="4"/>
      <c r="B674" s="4"/>
      <c r="C674" s="4"/>
      <c r="D674" s="4"/>
      <c r="E674" s="4"/>
    </row>
    <row r="675" spans="1:5" ht="14.25" customHeight="1" x14ac:dyDescent="0.35">
      <c r="A675" s="4"/>
      <c r="B675" s="4"/>
      <c r="C675" s="4"/>
      <c r="D675" s="4"/>
      <c r="E675" s="4"/>
    </row>
    <row r="676" spans="1:5" ht="14.25" customHeight="1" x14ac:dyDescent="0.35">
      <c r="A676" s="4"/>
      <c r="B676" s="4"/>
      <c r="C676" s="4"/>
      <c r="D676" s="4"/>
      <c r="E676" s="4"/>
    </row>
    <row r="677" spans="1:5" ht="14.25" customHeight="1" x14ac:dyDescent="0.35">
      <c r="A677" s="4"/>
      <c r="B677" s="4"/>
      <c r="C677" s="4"/>
      <c r="D677" s="4"/>
      <c r="E677" s="4"/>
    </row>
    <row r="678" spans="1:5" ht="14.25" customHeight="1" x14ac:dyDescent="0.35">
      <c r="A678" s="4"/>
      <c r="B678" s="4"/>
      <c r="C678" s="4"/>
      <c r="D678" s="4"/>
      <c r="E678" s="4"/>
    </row>
    <row r="679" spans="1:5" ht="14.25" customHeight="1" x14ac:dyDescent="0.35">
      <c r="A679" s="4"/>
      <c r="B679" s="4"/>
      <c r="C679" s="4"/>
      <c r="D679" s="4"/>
      <c r="E679" s="4"/>
    </row>
    <row r="680" spans="1:5" ht="14.25" customHeight="1" x14ac:dyDescent="0.35">
      <c r="A680" s="4"/>
      <c r="B680" s="4"/>
      <c r="C680" s="4"/>
      <c r="D680" s="4"/>
      <c r="E680" s="4"/>
    </row>
    <row r="681" spans="1:5" ht="14.25" customHeight="1" x14ac:dyDescent="0.35">
      <c r="A681" s="4"/>
      <c r="B681" s="4"/>
      <c r="C681" s="4"/>
      <c r="D681" s="4"/>
      <c r="E681" s="4"/>
    </row>
    <row r="682" spans="1:5" ht="14.25" customHeight="1" x14ac:dyDescent="0.35">
      <c r="A682" s="4"/>
      <c r="B682" s="4"/>
      <c r="C682" s="4"/>
      <c r="D682" s="4"/>
      <c r="E682" s="4"/>
    </row>
    <row r="683" spans="1:5" ht="14.25" customHeight="1" x14ac:dyDescent="0.35">
      <c r="A683" s="4"/>
      <c r="B683" s="4"/>
      <c r="C683" s="4"/>
      <c r="D683" s="4"/>
      <c r="E683" s="4"/>
    </row>
    <row r="684" spans="1:5" ht="14.25" customHeight="1" x14ac:dyDescent="0.35">
      <c r="A684" s="4"/>
      <c r="B684" s="4"/>
      <c r="C684" s="4"/>
      <c r="D684" s="4"/>
      <c r="E684" s="4"/>
    </row>
    <row r="685" spans="1:5" ht="14.25" customHeight="1" x14ac:dyDescent="0.35">
      <c r="A685" s="4"/>
      <c r="B685" s="4"/>
      <c r="C685" s="4"/>
      <c r="D685" s="4"/>
      <c r="E685" s="4"/>
    </row>
    <row r="686" spans="1:5" ht="14.25" customHeight="1" x14ac:dyDescent="0.35">
      <c r="A686" s="4"/>
      <c r="B686" s="4"/>
      <c r="C686" s="4"/>
      <c r="D686" s="4"/>
      <c r="E686" s="4"/>
    </row>
    <row r="687" spans="1:5" ht="14.25" customHeight="1" x14ac:dyDescent="0.35">
      <c r="A687" s="4"/>
      <c r="B687" s="4"/>
      <c r="C687" s="4"/>
      <c r="D687" s="4"/>
      <c r="E687" s="4"/>
    </row>
    <row r="688" spans="1:5" ht="14.25" customHeight="1" x14ac:dyDescent="0.35">
      <c r="A688" s="4"/>
      <c r="B688" s="4"/>
      <c r="C688" s="4"/>
      <c r="D688" s="4"/>
      <c r="E688" s="4"/>
    </row>
    <row r="689" spans="1:5" ht="14.25" customHeight="1" x14ac:dyDescent="0.35">
      <c r="A689" s="4"/>
      <c r="B689" s="4"/>
      <c r="C689" s="4"/>
      <c r="D689" s="4"/>
      <c r="E689" s="4"/>
    </row>
    <row r="690" spans="1:5" ht="14.25" customHeight="1" x14ac:dyDescent="0.35">
      <c r="A690" s="4"/>
      <c r="B690" s="4"/>
      <c r="C690" s="4"/>
      <c r="D690" s="4"/>
      <c r="E690" s="4"/>
    </row>
    <row r="691" spans="1:5" ht="14.25" customHeight="1" x14ac:dyDescent="0.35">
      <c r="A691" s="4"/>
      <c r="B691" s="4"/>
      <c r="C691" s="4"/>
      <c r="D691" s="4"/>
      <c r="E691" s="4"/>
    </row>
    <row r="692" spans="1:5" ht="14.25" customHeight="1" x14ac:dyDescent="0.35">
      <c r="A692" s="4"/>
      <c r="B692" s="4"/>
      <c r="C692" s="4"/>
      <c r="D692" s="4"/>
      <c r="E692" s="4"/>
    </row>
    <row r="693" spans="1:5" ht="14.25" customHeight="1" x14ac:dyDescent="0.35">
      <c r="A693" s="4"/>
      <c r="B693" s="4"/>
      <c r="C693" s="4"/>
      <c r="D693" s="4"/>
      <c r="E693" s="4"/>
    </row>
    <row r="694" spans="1:5" ht="14.25" customHeight="1" x14ac:dyDescent="0.35">
      <c r="A694" s="4"/>
      <c r="B694" s="4"/>
      <c r="C694" s="4"/>
      <c r="D694" s="4"/>
      <c r="E694" s="4"/>
    </row>
    <row r="695" spans="1:5" ht="14.25" customHeight="1" x14ac:dyDescent="0.35">
      <c r="A695" s="4"/>
      <c r="B695" s="4"/>
      <c r="C695" s="4"/>
      <c r="D695" s="4"/>
      <c r="E695" s="4"/>
    </row>
    <row r="696" spans="1:5" ht="14.25" customHeight="1" x14ac:dyDescent="0.35">
      <c r="A696" s="4"/>
      <c r="B696" s="4"/>
      <c r="C696" s="4"/>
      <c r="D696" s="4"/>
      <c r="E696" s="4"/>
    </row>
    <row r="697" spans="1:5" ht="14.25" customHeight="1" x14ac:dyDescent="0.35">
      <c r="A697" s="4"/>
      <c r="B697" s="4"/>
      <c r="C697" s="4"/>
      <c r="D697" s="4"/>
      <c r="E697" s="4"/>
    </row>
    <row r="698" spans="1:5" ht="14.25" customHeight="1" x14ac:dyDescent="0.35">
      <c r="A698" s="4"/>
      <c r="B698" s="4"/>
      <c r="C698" s="4"/>
      <c r="D698" s="4"/>
      <c r="E698" s="4"/>
    </row>
    <row r="699" spans="1:5" ht="14.25" customHeight="1" x14ac:dyDescent="0.35">
      <c r="A699" s="4"/>
      <c r="B699" s="4"/>
      <c r="C699" s="4"/>
      <c r="D699" s="4"/>
      <c r="E699" s="4"/>
    </row>
    <row r="700" spans="1:5" ht="14.25" customHeight="1" x14ac:dyDescent="0.35">
      <c r="A700" s="4"/>
      <c r="B700" s="4"/>
      <c r="C700" s="4"/>
      <c r="D700" s="4"/>
      <c r="E700" s="4"/>
    </row>
    <row r="701" spans="1:5" ht="14.25" customHeight="1" x14ac:dyDescent="0.35">
      <c r="A701" s="4"/>
      <c r="B701" s="4"/>
      <c r="C701" s="4"/>
      <c r="D701" s="4"/>
      <c r="E701" s="4"/>
    </row>
    <row r="702" spans="1:5" ht="14.25" customHeight="1" x14ac:dyDescent="0.35">
      <c r="A702" s="4"/>
      <c r="B702" s="4"/>
      <c r="C702" s="4"/>
      <c r="D702" s="4"/>
      <c r="E702" s="4"/>
    </row>
    <row r="703" spans="1:5" ht="14.25" customHeight="1" x14ac:dyDescent="0.35">
      <c r="A703" s="4"/>
      <c r="B703" s="4"/>
      <c r="C703" s="4"/>
      <c r="D703" s="4"/>
      <c r="E703" s="4"/>
    </row>
    <row r="704" spans="1:5" ht="14.25" customHeight="1" x14ac:dyDescent="0.35">
      <c r="A704" s="4"/>
      <c r="B704" s="4"/>
      <c r="C704" s="4"/>
      <c r="D704" s="4"/>
      <c r="E704" s="4"/>
    </row>
    <row r="705" spans="1:5" ht="14.25" customHeight="1" x14ac:dyDescent="0.35">
      <c r="A705" s="4"/>
      <c r="B705" s="4"/>
      <c r="C705" s="4"/>
      <c r="D705" s="4"/>
      <c r="E705" s="4"/>
    </row>
    <row r="706" spans="1:5" ht="14.25" customHeight="1" x14ac:dyDescent="0.35">
      <c r="A706" s="4"/>
      <c r="B706" s="4"/>
      <c r="C706" s="4"/>
      <c r="D706" s="4"/>
      <c r="E706" s="4"/>
    </row>
    <row r="707" spans="1:5" ht="14.25" customHeight="1" x14ac:dyDescent="0.35">
      <c r="A707" s="4"/>
      <c r="B707" s="4"/>
      <c r="C707" s="4"/>
      <c r="D707" s="4"/>
      <c r="E707" s="4"/>
    </row>
    <row r="708" spans="1:5" ht="14.25" customHeight="1" x14ac:dyDescent="0.35">
      <c r="A708" s="4"/>
      <c r="B708" s="4"/>
      <c r="C708" s="4"/>
      <c r="D708" s="4"/>
      <c r="E708" s="4"/>
    </row>
    <row r="709" spans="1:5" ht="14.25" customHeight="1" x14ac:dyDescent="0.35">
      <c r="A709" s="4"/>
      <c r="B709" s="4"/>
      <c r="C709" s="4"/>
      <c r="D709" s="4"/>
      <c r="E709" s="4"/>
    </row>
    <row r="710" spans="1:5" ht="14.25" customHeight="1" x14ac:dyDescent="0.35">
      <c r="A710" s="4"/>
      <c r="B710" s="4"/>
      <c r="C710" s="4"/>
      <c r="D710" s="4"/>
      <c r="E710" s="4"/>
    </row>
    <row r="711" spans="1:5" ht="14.25" customHeight="1" x14ac:dyDescent="0.35">
      <c r="A711" s="4"/>
      <c r="B711" s="4"/>
      <c r="C711" s="4"/>
      <c r="D711" s="4"/>
      <c r="E711" s="4"/>
    </row>
    <row r="712" spans="1:5" ht="14.25" customHeight="1" x14ac:dyDescent="0.35">
      <c r="A712" s="4"/>
      <c r="B712" s="4"/>
      <c r="C712" s="4"/>
      <c r="D712" s="4"/>
      <c r="E712" s="4"/>
    </row>
    <row r="713" spans="1:5" ht="14.25" customHeight="1" x14ac:dyDescent="0.35">
      <c r="A713" s="4"/>
      <c r="B713" s="4"/>
      <c r="C713" s="4"/>
      <c r="D713" s="4"/>
      <c r="E713" s="4"/>
    </row>
    <row r="714" spans="1:5" ht="14.25" customHeight="1" x14ac:dyDescent="0.35">
      <c r="A714" s="4"/>
      <c r="B714" s="4"/>
      <c r="C714" s="4"/>
      <c r="D714" s="4"/>
      <c r="E714" s="4"/>
    </row>
    <row r="715" spans="1:5" ht="14.25" customHeight="1" x14ac:dyDescent="0.35">
      <c r="A715" s="4"/>
      <c r="B715" s="4"/>
      <c r="C715" s="4"/>
      <c r="D715" s="4"/>
      <c r="E715" s="4"/>
    </row>
    <row r="716" spans="1:5" ht="14.25" customHeight="1" x14ac:dyDescent="0.35">
      <c r="A716" s="4"/>
      <c r="B716" s="4"/>
      <c r="C716" s="4"/>
      <c r="D716" s="4"/>
      <c r="E716" s="4"/>
    </row>
    <row r="717" spans="1:5" ht="14.25" customHeight="1" x14ac:dyDescent="0.35">
      <c r="A717" s="4"/>
      <c r="B717" s="4"/>
      <c r="C717" s="4"/>
      <c r="D717" s="4"/>
      <c r="E717" s="4"/>
    </row>
    <row r="718" spans="1:5" ht="14.25" customHeight="1" x14ac:dyDescent="0.35">
      <c r="A718" s="4"/>
      <c r="B718" s="4"/>
      <c r="C718" s="4"/>
      <c r="D718" s="4"/>
      <c r="E718" s="4"/>
    </row>
    <row r="719" spans="1:5" ht="14.25" customHeight="1" x14ac:dyDescent="0.35">
      <c r="A719" s="4"/>
      <c r="B719" s="4"/>
      <c r="C719" s="4"/>
      <c r="D719" s="4"/>
      <c r="E719" s="4"/>
    </row>
    <row r="720" spans="1:5" ht="14.25" customHeight="1" x14ac:dyDescent="0.35">
      <c r="A720" s="4"/>
      <c r="B720" s="4"/>
      <c r="C720" s="4"/>
      <c r="D720" s="4"/>
      <c r="E720" s="4"/>
    </row>
    <row r="721" spans="1:5" ht="14.25" customHeight="1" x14ac:dyDescent="0.35">
      <c r="A721" s="4"/>
      <c r="B721" s="4"/>
      <c r="C721" s="4"/>
      <c r="D721" s="4"/>
      <c r="E721" s="4"/>
    </row>
    <row r="722" spans="1:5" ht="14.25" customHeight="1" x14ac:dyDescent="0.35">
      <c r="A722" s="4"/>
      <c r="B722" s="4"/>
      <c r="C722" s="4"/>
      <c r="D722" s="4"/>
      <c r="E722" s="4"/>
    </row>
    <row r="723" spans="1:5" ht="14.25" customHeight="1" x14ac:dyDescent="0.35">
      <c r="A723" s="4"/>
      <c r="B723" s="4"/>
      <c r="C723" s="4"/>
      <c r="D723" s="4"/>
      <c r="E723" s="4"/>
    </row>
    <row r="724" spans="1:5" ht="14.25" customHeight="1" x14ac:dyDescent="0.35">
      <c r="A724" s="4"/>
      <c r="B724" s="4"/>
      <c r="C724" s="4"/>
      <c r="D724" s="4"/>
      <c r="E724" s="4"/>
    </row>
    <row r="725" spans="1:5" ht="14.25" customHeight="1" x14ac:dyDescent="0.35">
      <c r="A725" s="4"/>
      <c r="B725" s="4"/>
      <c r="C725" s="4"/>
      <c r="D725" s="4"/>
      <c r="E725" s="4"/>
    </row>
    <row r="726" spans="1:5" ht="14.25" customHeight="1" x14ac:dyDescent="0.35">
      <c r="A726" s="4"/>
      <c r="B726" s="4"/>
      <c r="C726" s="4"/>
      <c r="D726" s="4"/>
      <c r="E726" s="4"/>
    </row>
    <row r="727" spans="1:5" ht="14.25" customHeight="1" x14ac:dyDescent="0.35">
      <c r="A727" s="4"/>
      <c r="B727" s="4"/>
      <c r="C727" s="4"/>
      <c r="D727" s="4"/>
      <c r="E727" s="4"/>
    </row>
    <row r="728" spans="1:5" ht="14.25" customHeight="1" x14ac:dyDescent="0.35">
      <c r="A728" s="4"/>
      <c r="B728" s="4"/>
      <c r="C728" s="4"/>
      <c r="D728" s="4"/>
      <c r="E728" s="4"/>
    </row>
    <row r="729" spans="1:5" ht="14.25" customHeight="1" x14ac:dyDescent="0.35">
      <c r="A729" s="4"/>
      <c r="B729" s="4"/>
      <c r="C729" s="4"/>
      <c r="D729" s="4"/>
      <c r="E729" s="4"/>
    </row>
    <row r="730" spans="1:5" ht="14.25" customHeight="1" x14ac:dyDescent="0.35">
      <c r="A730" s="4"/>
      <c r="B730" s="4"/>
      <c r="C730" s="4"/>
      <c r="D730" s="4"/>
      <c r="E730" s="4"/>
    </row>
    <row r="731" spans="1:5" ht="14.25" customHeight="1" x14ac:dyDescent="0.35">
      <c r="A731" s="4"/>
      <c r="B731" s="4"/>
      <c r="C731" s="4"/>
      <c r="D731" s="4"/>
      <c r="E731" s="4"/>
    </row>
    <row r="732" spans="1:5" ht="14.25" customHeight="1" x14ac:dyDescent="0.35">
      <c r="A732" s="4"/>
      <c r="B732" s="4"/>
      <c r="C732" s="4"/>
      <c r="D732" s="4"/>
      <c r="E732" s="4"/>
    </row>
    <row r="733" spans="1:5" ht="14.25" customHeight="1" x14ac:dyDescent="0.35">
      <c r="A733" s="4"/>
      <c r="B733" s="4"/>
      <c r="C733" s="4"/>
      <c r="D733" s="4"/>
      <c r="E733" s="4"/>
    </row>
    <row r="734" spans="1:5" ht="14.25" customHeight="1" x14ac:dyDescent="0.35">
      <c r="A734" s="4"/>
      <c r="B734" s="4"/>
      <c r="C734" s="4"/>
      <c r="D734" s="4"/>
      <c r="E734" s="4"/>
    </row>
    <row r="735" spans="1:5" ht="14.25" customHeight="1" x14ac:dyDescent="0.35">
      <c r="A735" s="4"/>
      <c r="B735" s="4"/>
      <c r="C735" s="4"/>
      <c r="D735" s="4"/>
      <c r="E735" s="4"/>
    </row>
    <row r="736" spans="1:5" ht="14.25" customHeight="1" x14ac:dyDescent="0.35">
      <c r="A736" s="4"/>
      <c r="B736" s="4"/>
      <c r="C736" s="4"/>
      <c r="D736" s="4"/>
      <c r="E736" s="4"/>
    </row>
    <row r="737" spans="1:5" ht="14.25" customHeight="1" x14ac:dyDescent="0.35">
      <c r="A737" s="4"/>
      <c r="B737" s="4"/>
      <c r="C737" s="4"/>
      <c r="D737" s="4"/>
      <c r="E737" s="4"/>
    </row>
    <row r="738" spans="1:5" ht="14.25" customHeight="1" x14ac:dyDescent="0.35">
      <c r="A738" s="4"/>
      <c r="B738" s="4"/>
      <c r="C738" s="4"/>
      <c r="D738" s="4"/>
      <c r="E738" s="4"/>
    </row>
    <row r="739" spans="1:5" ht="14.25" customHeight="1" x14ac:dyDescent="0.35">
      <c r="A739" s="4"/>
      <c r="B739" s="4"/>
      <c r="C739" s="4"/>
      <c r="D739" s="4"/>
      <c r="E739" s="4"/>
    </row>
    <row r="740" spans="1:5" ht="14.25" customHeight="1" x14ac:dyDescent="0.35">
      <c r="A740" s="4"/>
      <c r="B740" s="4"/>
      <c r="C740" s="4"/>
      <c r="D740" s="4"/>
      <c r="E740" s="4"/>
    </row>
    <row r="741" spans="1:5" ht="14.25" customHeight="1" x14ac:dyDescent="0.35">
      <c r="A741" s="4"/>
      <c r="B741" s="4"/>
      <c r="C741" s="4"/>
      <c r="D741" s="4"/>
      <c r="E741" s="4"/>
    </row>
    <row r="742" spans="1:5" ht="14.25" customHeight="1" x14ac:dyDescent="0.35">
      <c r="A742" s="4"/>
      <c r="B742" s="4"/>
      <c r="C742" s="4"/>
      <c r="D742" s="4"/>
      <c r="E742" s="4"/>
    </row>
    <row r="743" spans="1:5" ht="14.25" customHeight="1" x14ac:dyDescent="0.35">
      <c r="A743" s="4"/>
      <c r="B743" s="4"/>
      <c r="C743" s="4"/>
      <c r="D743" s="4"/>
      <c r="E743" s="4"/>
    </row>
    <row r="744" spans="1:5" ht="14.25" customHeight="1" x14ac:dyDescent="0.35">
      <c r="A744" s="4"/>
      <c r="B744" s="4"/>
      <c r="C744" s="4"/>
      <c r="D744" s="4"/>
      <c r="E744" s="4"/>
    </row>
    <row r="745" spans="1:5" ht="14.25" customHeight="1" x14ac:dyDescent="0.35">
      <c r="A745" s="4"/>
      <c r="B745" s="4"/>
      <c r="C745" s="4"/>
      <c r="D745" s="4"/>
      <c r="E745" s="4"/>
    </row>
    <row r="746" spans="1:5" ht="14.25" customHeight="1" x14ac:dyDescent="0.35">
      <c r="A746" s="4"/>
      <c r="B746" s="4"/>
      <c r="C746" s="4"/>
      <c r="D746" s="4"/>
      <c r="E746" s="4"/>
    </row>
    <row r="747" spans="1:5" ht="14.25" customHeight="1" x14ac:dyDescent="0.35">
      <c r="A747" s="4"/>
      <c r="B747" s="4"/>
      <c r="C747" s="4"/>
      <c r="D747" s="4"/>
      <c r="E747" s="4"/>
    </row>
    <row r="748" spans="1:5" ht="14.25" customHeight="1" x14ac:dyDescent="0.35">
      <c r="A748" s="4"/>
      <c r="B748" s="4"/>
      <c r="C748" s="4"/>
      <c r="D748" s="4"/>
      <c r="E748" s="4"/>
    </row>
    <row r="749" spans="1:5" ht="14.25" customHeight="1" x14ac:dyDescent="0.35">
      <c r="A749" s="4"/>
      <c r="B749" s="4"/>
      <c r="C749" s="4"/>
      <c r="D749" s="4"/>
      <c r="E749" s="4"/>
    </row>
    <row r="750" spans="1:5" ht="14.25" customHeight="1" x14ac:dyDescent="0.35">
      <c r="A750" s="4"/>
      <c r="B750" s="4"/>
      <c r="C750" s="4"/>
      <c r="D750" s="4"/>
      <c r="E750" s="4"/>
    </row>
    <row r="751" spans="1:5" ht="14.25" customHeight="1" x14ac:dyDescent="0.35">
      <c r="A751" s="4"/>
      <c r="B751" s="4"/>
      <c r="C751" s="4"/>
      <c r="D751" s="4"/>
      <c r="E751" s="4"/>
    </row>
    <row r="752" spans="1:5" ht="14.25" customHeight="1" x14ac:dyDescent="0.35">
      <c r="A752" s="4"/>
      <c r="B752" s="4"/>
      <c r="C752" s="4"/>
      <c r="D752" s="4"/>
      <c r="E752" s="4"/>
    </row>
    <row r="753" spans="1:5" ht="14.25" customHeight="1" x14ac:dyDescent="0.35">
      <c r="A753" s="4"/>
      <c r="B753" s="4"/>
      <c r="C753" s="4"/>
      <c r="D753" s="4"/>
      <c r="E753" s="4"/>
    </row>
    <row r="754" spans="1:5" ht="14.25" customHeight="1" x14ac:dyDescent="0.35">
      <c r="A754" s="4"/>
      <c r="B754" s="4"/>
      <c r="C754" s="4"/>
      <c r="D754" s="4"/>
      <c r="E754" s="4"/>
    </row>
    <row r="755" spans="1:5" ht="14.25" customHeight="1" x14ac:dyDescent="0.35">
      <c r="A755" s="4"/>
      <c r="B755" s="4"/>
      <c r="C755" s="4"/>
      <c r="D755" s="4"/>
      <c r="E755" s="4"/>
    </row>
    <row r="756" spans="1:5" ht="14.25" customHeight="1" x14ac:dyDescent="0.35">
      <c r="A756" s="4"/>
      <c r="B756" s="4"/>
      <c r="C756" s="4"/>
      <c r="D756" s="4"/>
      <c r="E756" s="4"/>
    </row>
    <row r="757" spans="1:5" ht="14.25" customHeight="1" x14ac:dyDescent="0.35">
      <c r="A757" s="4"/>
      <c r="B757" s="4"/>
      <c r="C757" s="4"/>
      <c r="D757" s="4"/>
      <c r="E757" s="4"/>
    </row>
    <row r="758" spans="1:5" ht="14.25" customHeight="1" x14ac:dyDescent="0.35">
      <c r="A758" s="4"/>
      <c r="B758" s="4"/>
      <c r="C758" s="4"/>
      <c r="D758" s="4"/>
      <c r="E758" s="4"/>
    </row>
    <row r="759" spans="1:5" ht="14.25" customHeight="1" x14ac:dyDescent="0.35">
      <c r="A759" s="4"/>
      <c r="B759" s="4"/>
      <c r="C759" s="4"/>
      <c r="D759" s="4"/>
      <c r="E759" s="4"/>
    </row>
    <row r="760" spans="1:5" ht="14.25" customHeight="1" x14ac:dyDescent="0.35">
      <c r="A760" s="4"/>
      <c r="B760" s="4"/>
      <c r="C760" s="4"/>
      <c r="D760" s="4"/>
      <c r="E760" s="4"/>
    </row>
    <row r="761" spans="1:5" ht="14.25" customHeight="1" x14ac:dyDescent="0.35">
      <c r="A761" s="4"/>
      <c r="B761" s="4"/>
      <c r="C761" s="4"/>
      <c r="D761" s="4"/>
      <c r="E761" s="4"/>
    </row>
    <row r="762" spans="1:5" ht="14.25" customHeight="1" x14ac:dyDescent="0.35">
      <c r="A762" s="4"/>
      <c r="B762" s="4"/>
      <c r="C762" s="4"/>
      <c r="D762" s="4"/>
      <c r="E762" s="4"/>
    </row>
    <row r="763" spans="1:5" ht="14.25" customHeight="1" x14ac:dyDescent="0.35">
      <c r="A763" s="4"/>
      <c r="B763" s="4"/>
      <c r="C763" s="4"/>
      <c r="D763" s="4"/>
      <c r="E763" s="4"/>
    </row>
    <row r="764" spans="1:5" ht="14.25" customHeight="1" x14ac:dyDescent="0.35">
      <c r="A764" s="4"/>
      <c r="B764" s="4"/>
      <c r="C764" s="4"/>
      <c r="D764" s="4"/>
      <c r="E764" s="4"/>
    </row>
    <row r="765" spans="1:5" ht="14.25" customHeight="1" x14ac:dyDescent="0.35">
      <c r="A765" s="4"/>
      <c r="B765" s="4"/>
      <c r="C765" s="4"/>
      <c r="D765" s="4"/>
      <c r="E765" s="4"/>
    </row>
    <row r="766" spans="1:5" ht="14.25" customHeight="1" x14ac:dyDescent="0.35">
      <c r="A766" s="4"/>
      <c r="B766" s="4"/>
      <c r="C766" s="4"/>
      <c r="D766" s="4"/>
      <c r="E766" s="4"/>
    </row>
    <row r="767" spans="1:5" ht="14.25" customHeight="1" x14ac:dyDescent="0.35">
      <c r="A767" s="4"/>
      <c r="B767" s="4"/>
      <c r="C767" s="4"/>
      <c r="D767" s="4"/>
      <c r="E767" s="4"/>
    </row>
    <row r="768" spans="1:5" ht="14.25" customHeight="1" x14ac:dyDescent="0.35">
      <c r="A768" s="4"/>
      <c r="B768" s="4"/>
      <c r="C768" s="4"/>
      <c r="D768" s="4"/>
      <c r="E768" s="4"/>
    </row>
    <row r="769" spans="1:5" ht="14.25" customHeight="1" x14ac:dyDescent="0.35">
      <c r="A769" s="4"/>
      <c r="B769" s="4"/>
      <c r="C769" s="4"/>
      <c r="D769" s="4"/>
      <c r="E769" s="4"/>
    </row>
    <row r="770" spans="1:5" ht="14.25" customHeight="1" x14ac:dyDescent="0.35">
      <c r="A770" s="4"/>
      <c r="B770" s="4"/>
      <c r="C770" s="4"/>
      <c r="D770" s="4"/>
      <c r="E770" s="4"/>
    </row>
    <row r="771" spans="1:5" ht="14.25" customHeight="1" x14ac:dyDescent="0.35">
      <c r="A771" s="4"/>
      <c r="B771" s="4"/>
      <c r="C771" s="4"/>
      <c r="D771" s="4"/>
      <c r="E771" s="4"/>
    </row>
    <row r="772" spans="1:5" ht="14.25" customHeight="1" x14ac:dyDescent="0.35">
      <c r="A772" s="4"/>
      <c r="B772" s="4"/>
      <c r="C772" s="4"/>
      <c r="D772" s="4"/>
      <c r="E772" s="4"/>
    </row>
    <row r="773" spans="1:5" ht="14.25" customHeight="1" x14ac:dyDescent="0.35">
      <c r="A773" s="4"/>
      <c r="B773" s="4"/>
      <c r="C773" s="4"/>
      <c r="D773" s="4"/>
      <c r="E773" s="4"/>
    </row>
    <row r="774" spans="1:5" ht="14.25" customHeight="1" x14ac:dyDescent="0.35">
      <c r="A774" s="4"/>
      <c r="B774" s="4"/>
      <c r="C774" s="4"/>
      <c r="D774" s="4"/>
      <c r="E774" s="4"/>
    </row>
    <row r="775" spans="1:5" ht="14.25" customHeight="1" x14ac:dyDescent="0.35">
      <c r="A775" s="4"/>
      <c r="B775" s="4"/>
      <c r="C775" s="4"/>
      <c r="D775" s="4"/>
      <c r="E775" s="4"/>
    </row>
    <row r="776" spans="1:5" ht="14.25" customHeight="1" x14ac:dyDescent="0.35">
      <c r="A776" s="4"/>
      <c r="B776" s="4"/>
      <c r="C776" s="4"/>
      <c r="D776" s="4"/>
      <c r="E776" s="4"/>
    </row>
    <row r="777" spans="1:5" ht="14.25" customHeight="1" x14ac:dyDescent="0.35">
      <c r="A777" s="4"/>
      <c r="B777" s="4"/>
      <c r="C777" s="4"/>
      <c r="D777" s="4"/>
      <c r="E777" s="4"/>
    </row>
    <row r="778" spans="1:5" ht="14.25" customHeight="1" x14ac:dyDescent="0.35">
      <c r="A778" s="4"/>
      <c r="B778" s="4"/>
      <c r="C778" s="4"/>
      <c r="D778" s="4"/>
      <c r="E778" s="4"/>
    </row>
    <row r="779" spans="1:5" ht="14.25" customHeight="1" x14ac:dyDescent="0.35">
      <c r="A779" s="4"/>
      <c r="B779" s="4"/>
      <c r="C779" s="4"/>
      <c r="D779" s="4"/>
      <c r="E779" s="4"/>
    </row>
    <row r="780" spans="1:5" ht="14.25" customHeight="1" x14ac:dyDescent="0.35">
      <c r="A780" s="4"/>
      <c r="B780" s="4"/>
      <c r="C780" s="4"/>
      <c r="D780" s="4"/>
      <c r="E780" s="4"/>
    </row>
    <row r="781" spans="1:5" ht="14.25" customHeight="1" x14ac:dyDescent="0.35">
      <c r="A781" s="4"/>
      <c r="B781" s="4"/>
      <c r="C781" s="4"/>
      <c r="D781" s="4"/>
      <c r="E781" s="4"/>
    </row>
    <row r="782" spans="1:5" ht="14.25" customHeight="1" x14ac:dyDescent="0.35">
      <c r="A782" s="4"/>
      <c r="B782" s="4"/>
      <c r="C782" s="4"/>
      <c r="D782" s="4"/>
      <c r="E782" s="4"/>
    </row>
    <row r="783" spans="1:5" ht="14.25" customHeight="1" x14ac:dyDescent="0.35">
      <c r="A783" s="4"/>
      <c r="B783" s="4"/>
      <c r="C783" s="4"/>
      <c r="D783" s="4"/>
      <c r="E783" s="4"/>
    </row>
    <row r="784" spans="1:5" ht="14.25" customHeight="1" x14ac:dyDescent="0.35">
      <c r="A784" s="4"/>
      <c r="B784" s="4"/>
      <c r="C784" s="4"/>
      <c r="D784" s="4"/>
      <c r="E784" s="4"/>
    </row>
    <row r="785" spans="1:5" ht="14.25" customHeight="1" x14ac:dyDescent="0.35">
      <c r="A785" s="4"/>
      <c r="B785" s="4"/>
      <c r="C785" s="4"/>
      <c r="D785" s="4"/>
      <c r="E785" s="4"/>
    </row>
    <row r="786" spans="1:5" ht="14.25" customHeight="1" x14ac:dyDescent="0.35">
      <c r="A786" s="4"/>
      <c r="B786" s="4"/>
      <c r="C786" s="4"/>
      <c r="D786" s="4"/>
      <c r="E786" s="4"/>
    </row>
    <row r="787" spans="1:5" ht="14.25" customHeight="1" x14ac:dyDescent="0.35">
      <c r="A787" s="4"/>
      <c r="B787" s="4"/>
      <c r="C787" s="4"/>
      <c r="D787" s="4"/>
      <c r="E787" s="4"/>
    </row>
    <row r="788" spans="1:5" ht="14.25" customHeight="1" x14ac:dyDescent="0.35">
      <c r="A788" s="4"/>
      <c r="B788" s="4"/>
      <c r="C788" s="4"/>
      <c r="D788" s="4"/>
      <c r="E788" s="4"/>
    </row>
    <row r="789" spans="1:5" ht="14.25" customHeight="1" x14ac:dyDescent="0.35">
      <c r="A789" s="4"/>
      <c r="B789" s="4"/>
      <c r="C789" s="4"/>
      <c r="D789" s="4"/>
      <c r="E789" s="4"/>
    </row>
    <row r="790" spans="1:5" ht="14.25" customHeight="1" x14ac:dyDescent="0.35">
      <c r="A790" s="4"/>
      <c r="B790" s="4"/>
      <c r="C790" s="4"/>
      <c r="D790" s="4"/>
      <c r="E790" s="4"/>
    </row>
    <row r="791" spans="1:5" ht="14.25" customHeight="1" x14ac:dyDescent="0.35">
      <c r="A791" s="4"/>
      <c r="B791" s="4"/>
      <c r="C791" s="4"/>
      <c r="D791" s="4"/>
      <c r="E791" s="4"/>
    </row>
    <row r="792" spans="1:5" ht="14.25" customHeight="1" x14ac:dyDescent="0.35">
      <c r="A792" s="4"/>
      <c r="B792" s="4"/>
      <c r="C792" s="4"/>
      <c r="D792" s="4"/>
      <c r="E792" s="4"/>
    </row>
    <row r="793" spans="1:5" ht="14.25" customHeight="1" x14ac:dyDescent="0.35">
      <c r="A793" s="4"/>
      <c r="B793" s="4"/>
      <c r="C793" s="4"/>
      <c r="D793" s="4"/>
      <c r="E793" s="4"/>
    </row>
    <row r="794" spans="1:5" ht="14.25" customHeight="1" x14ac:dyDescent="0.35">
      <c r="A794" s="4"/>
      <c r="B794" s="4"/>
      <c r="C794" s="4"/>
      <c r="D794" s="4"/>
      <c r="E794" s="4"/>
    </row>
    <row r="795" spans="1:5" ht="14.25" customHeight="1" x14ac:dyDescent="0.35">
      <c r="A795" s="4"/>
      <c r="B795" s="4"/>
      <c r="C795" s="4"/>
      <c r="D795" s="4"/>
      <c r="E795" s="4"/>
    </row>
    <row r="796" spans="1:5" ht="14.25" customHeight="1" x14ac:dyDescent="0.35">
      <c r="A796" s="4"/>
      <c r="B796" s="4"/>
      <c r="C796" s="4"/>
      <c r="D796" s="4"/>
      <c r="E796" s="4"/>
    </row>
    <row r="797" spans="1:5" ht="14.25" customHeight="1" x14ac:dyDescent="0.35">
      <c r="A797" s="4"/>
      <c r="B797" s="4"/>
      <c r="C797" s="4"/>
      <c r="D797" s="4"/>
      <c r="E797" s="4"/>
    </row>
    <row r="798" spans="1:5" ht="14.25" customHeight="1" x14ac:dyDescent="0.35">
      <c r="A798" s="4"/>
      <c r="B798" s="4"/>
      <c r="C798" s="4"/>
      <c r="D798" s="4"/>
      <c r="E798" s="4"/>
    </row>
    <row r="799" spans="1:5" ht="14.25" customHeight="1" x14ac:dyDescent="0.35">
      <c r="A799" s="4"/>
      <c r="B799" s="4"/>
      <c r="C799" s="4"/>
      <c r="D799" s="4"/>
      <c r="E799" s="4"/>
    </row>
    <row r="800" spans="1:5" ht="14.25" customHeight="1" x14ac:dyDescent="0.35">
      <c r="A800" s="4"/>
      <c r="B800" s="4"/>
      <c r="C800" s="4"/>
      <c r="D800" s="4"/>
      <c r="E800" s="4"/>
    </row>
    <row r="801" spans="1:5" ht="14.25" customHeight="1" x14ac:dyDescent="0.35">
      <c r="A801" s="4"/>
      <c r="B801" s="4"/>
      <c r="C801" s="4"/>
      <c r="D801" s="4"/>
      <c r="E801" s="4"/>
    </row>
    <row r="802" spans="1:5" ht="14.25" customHeight="1" x14ac:dyDescent="0.35">
      <c r="A802" s="4"/>
      <c r="B802" s="4"/>
      <c r="C802" s="4"/>
      <c r="D802" s="4"/>
      <c r="E802" s="4"/>
    </row>
    <row r="803" spans="1:5" ht="14.25" customHeight="1" x14ac:dyDescent="0.35">
      <c r="A803" s="4"/>
      <c r="B803" s="4"/>
      <c r="C803" s="4"/>
      <c r="D803" s="4"/>
      <c r="E803" s="4"/>
    </row>
    <row r="804" spans="1:5" ht="14.25" customHeight="1" x14ac:dyDescent="0.35">
      <c r="A804" s="4"/>
      <c r="B804" s="4"/>
      <c r="C804" s="4"/>
      <c r="D804" s="4"/>
      <c r="E804" s="4"/>
    </row>
    <row r="805" spans="1:5" ht="14.25" customHeight="1" x14ac:dyDescent="0.35">
      <c r="A805" s="4"/>
      <c r="B805" s="4"/>
      <c r="C805" s="4"/>
      <c r="D805" s="4"/>
      <c r="E805" s="4"/>
    </row>
    <row r="806" spans="1:5" ht="14.25" customHeight="1" x14ac:dyDescent="0.35">
      <c r="A806" s="4"/>
      <c r="B806" s="4"/>
      <c r="C806" s="4"/>
      <c r="D806" s="4"/>
      <c r="E806" s="4"/>
    </row>
    <row r="807" spans="1:5" ht="14.25" customHeight="1" x14ac:dyDescent="0.35">
      <c r="A807" s="4"/>
      <c r="B807" s="4"/>
      <c r="C807" s="4"/>
      <c r="D807" s="4"/>
      <c r="E807" s="4"/>
    </row>
    <row r="808" spans="1:5" ht="14.25" customHeight="1" x14ac:dyDescent="0.35">
      <c r="A808" s="4"/>
      <c r="B808" s="4"/>
      <c r="C808" s="4"/>
      <c r="D808" s="4"/>
      <c r="E808" s="4"/>
    </row>
    <row r="809" spans="1:5" ht="14.25" customHeight="1" x14ac:dyDescent="0.35">
      <c r="A809" s="4"/>
      <c r="B809" s="4"/>
      <c r="C809" s="4"/>
      <c r="D809" s="4"/>
      <c r="E809" s="4"/>
    </row>
    <row r="810" spans="1:5" ht="14.25" customHeight="1" x14ac:dyDescent="0.35">
      <c r="A810" s="4"/>
      <c r="B810" s="4"/>
      <c r="C810" s="4"/>
      <c r="D810" s="4"/>
      <c r="E810" s="4"/>
    </row>
    <row r="811" spans="1:5" ht="14.25" customHeight="1" x14ac:dyDescent="0.35">
      <c r="A811" s="4"/>
      <c r="B811" s="4"/>
      <c r="C811" s="4"/>
      <c r="D811" s="4"/>
      <c r="E811" s="4"/>
    </row>
    <row r="812" spans="1:5" ht="14.25" customHeight="1" x14ac:dyDescent="0.35">
      <c r="A812" s="4"/>
      <c r="B812" s="4"/>
      <c r="C812" s="4"/>
      <c r="D812" s="4"/>
      <c r="E812" s="4"/>
    </row>
    <row r="813" spans="1:5" ht="14.25" customHeight="1" x14ac:dyDescent="0.35">
      <c r="A813" s="4"/>
      <c r="B813" s="4"/>
      <c r="C813" s="4"/>
      <c r="D813" s="4"/>
      <c r="E813" s="4"/>
    </row>
    <row r="814" spans="1:5" ht="14.25" customHeight="1" x14ac:dyDescent="0.35">
      <c r="A814" s="4"/>
      <c r="B814" s="4"/>
      <c r="C814" s="4"/>
      <c r="D814" s="4"/>
      <c r="E814" s="4"/>
    </row>
    <row r="815" spans="1:5" ht="14.25" customHeight="1" x14ac:dyDescent="0.35">
      <c r="A815" s="4"/>
      <c r="B815" s="4"/>
      <c r="C815" s="4"/>
      <c r="D815" s="4"/>
      <c r="E815" s="4"/>
    </row>
    <row r="816" spans="1:5" ht="14.25" customHeight="1" x14ac:dyDescent="0.35">
      <c r="A816" s="4"/>
      <c r="B816" s="4"/>
      <c r="C816" s="4"/>
      <c r="D816" s="4"/>
      <c r="E816" s="4"/>
    </row>
    <row r="817" spans="1:5" ht="14.25" customHeight="1" x14ac:dyDescent="0.35">
      <c r="A817" s="4"/>
      <c r="B817" s="4"/>
      <c r="C817" s="4"/>
      <c r="D817" s="4"/>
      <c r="E817" s="4"/>
    </row>
    <row r="818" spans="1:5" ht="14.25" customHeight="1" x14ac:dyDescent="0.35">
      <c r="A818" s="4"/>
      <c r="B818" s="4"/>
      <c r="C818" s="4"/>
      <c r="D818" s="4"/>
      <c r="E818" s="4"/>
    </row>
    <row r="819" spans="1:5" ht="14.25" customHeight="1" x14ac:dyDescent="0.35">
      <c r="A819" s="4"/>
      <c r="B819" s="4"/>
      <c r="C819" s="4"/>
      <c r="D819" s="4"/>
      <c r="E819" s="4"/>
    </row>
    <row r="820" spans="1:5" ht="14.25" customHeight="1" x14ac:dyDescent="0.35">
      <c r="A820" s="4"/>
      <c r="B820" s="4"/>
      <c r="C820" s="4"/>
      <c r="D820" s="4"/>
      <c r="E820" s="4"/>
    </row>
    <row r="821" spans="1:5" ht="14.25" customHeight="1" x14ac:dyDescent="0.35">
      <c r="A821" s="4"/>
      <c r="B821" s="4"/>
      <c r="C821" s="4"/>
      <c r="D821" s="4"/>
      <c r="E821" s="4"/>
    </row>
    <row r="822" spans="1:5" ht="14.25" customHeight="1" x14ac:dyDescent="0.35">
      <c r="A822" s="4"/>
      <c r="B822" s="4"/>
      <c r="C822" s="4"/>
      <c r="D822" s="4"/>
      <c r="E822" s="4"/>
    </row>
    <row r="823" spans="1:5" ht="14.25" customHeight="1" x14ac:dyDescent="0.35">
      <c r="A823" s="4"/>
      <c r="B823" s="4"/>
      <c r="C823" s="4"/>
      <c r="D823" s="4"/>
      <c r="E823" s="4"/>
    </row>
    <row r="824" spans="1:5" ht="14.25" customHeight="1" x14ac:dyDescent="0.35">
      <c r="A824" s="4"/>
      <c r="B824" s="4"/>
      <c r="C824" s="4"/>
      <c r="D824" s="4"/>
      <c r="E824" s="4"/>
    </row>
    <row r="825" spans="1:5" ht="14.25" customHeight="1" x14ac:dyDescent="0.35">
      <c r="A825" s="4"/>
      <c r="B825" s="4"/>
      <c r="C825" s="4"/>
      <c r="D825" s="4"/>
      <c r="E825" s="4"/>
    </row>
    <row r="826" spans="1:5" ht="14.25" customHeight="1" x14ac:dyDescent="0.35">
      <c r="A826" s="4"/>
      <c r="B826" s="4"/>
      <c r="C826" s="4"/>
      <c r="D826" s="4"/>
      <c r="E826" s="4"/>
    </row>
    <row r="827" spans="1:5" ht="14.25" customHeight="1" x14ac:dyDescent="0.35">
      <c r="A827" s="4"/>
      <c r="B827" s="4"/>
      <c r="C827" s="4"/>
      <c r="D827" s="4"/>
      <c r="E827" s="4"/>
    </row>
    <row r="828" spans="1:5" ht="14.25" customHeight="1" x14ac:dyDescent="0.35">
      <c r="A828" s="4"/>
      <c r="B828" s="4"/>
      <c r="C828" s="4"/>
      <c r="D828" s="4"/>
      <c r="E828" s="4"/>
    </row>
    <row r="829" spans="1:5" ht="14.25" customHeight="1" x14ac:dyDescent="0.35">
      <c r="A829" s="4"/>
      <c r="B829" s="4"/>
      <c r="C829" s="4"/>
      <c r="D829" s="4"/>
      <c r="E829" s="4"/>
    </row>
    <row r="830" spans="1:5" ht="14.25" customHeight="1" x14ac:dyDescent="0.35">
      <c r="A830" s="4"/>
      <c r="B830" s="4"/>
      <c r="C830" s="4"/>
      <c r="D830" s="4"/>
      <c r="E830" s="4"/>
    </row>
    <row r="831" spans="1:5" ht="14.25" customHeight="1" x14ac:dyDescent="0.35">
      <c r="A831" s="4"/>
      <c r="B831" s="4"/>
      <c r="C831" s="4"/>
      <c r="D831" s="4"/>
      <c r="E831" s="4"/>
    </row>
    <row r="832" spans="1:5" ht="14.25" customHeight="1" x14ac:dyDescent="0.35">
      <c r="A832" s="4"/>
      <c r="B832" s="4"/>
      <c r="C832" s="4"/>
      <c r="D832" s="4"/>
      <c r="E832" s="4"/>
    </row>
    <row r="833" spans="1:5" ht="14.25" customHeight="1" x14ac:dyDescent="0.35">
      <c r="A833" s="4"/>
      <c r="B833" s="4"/>
      <c r="C833" s="4"/>
      <c r="D833" s="4"/>
      <c r="E833" s="4"/>
    </row>
    <row r="834" spans="1:5" ht="14.25" customHeight="1" x14ac:dyDescent="0.35">
      <c r="A834" s="4"/>
      <c r="B834" s="4"/>
      <c r="C834" s="4"/>
      <c r="D834" s="4"/>
      <c r="E834" s="4"/>
    </row>
    <row r="835" spans="1:5" ht="14.25" customHeight="1" x14ac:dyDescent="0.35">
      <c r="A835" s="4"/>
      <c r="B835" s="4"/>
      <c r="C835" s="4"/>
      <c r="D835" s="4"/>
      <c r="E835" s="4"/>
    </row>
    <row r="836" spans="1:5" ht="14.25" customHeight="1" x14ac:dyDescent="0.35">
      <c r="A836" s="4"/>
      <c r="B836" s="4"/>
      <c r="C836" s="4"/>
      <c r="D836" s="4"/>
      <c r="E836" s="4"/>
    </row>
    <row r="837" spans="1:5" ht="14.25" customHeight="1" x14ac:dyDescent="0.35">
      <c r="A837" s="4"/>
      <c r="B837" s="4"/>
      <c r="C837" s="4"/>
      <c r="D837" s="4"/>
      <c r="E837" s="4"/>
    </row>
    <row r="838" spans="1:5" ht="14.25" customHeight="1" x14ac:dyDescent="0.35">
      <c r="A838" s="4"/>
      <c r="B838" s="4"/>
      <c r="C838" s="4"/>
      <c r="D838" s="4"/>
      <c r="E838" s="4"/>
    </row>
    <row r="839" spans="1:5" ht="14.25" customHeight="1" x14ac:dyDescent="0.35">
      <c r="A839" s="4"/>
      <c r="B839" s="4"/>
      <c r="C839" s="4"/>
      <c r="D839" s="4"/>
      <c r="E839" s="4"/>
    </row>
    <row r="840" spans="1:5" ht="14.25" customHeight="1" x14ac:dyDescent="0.35">
      <c r="A840" s="4"/>
      <c r="B840" s="4"/>
      <c r="C840" s="4"/>
      <c r="D840" s="4"/>
      <c r="E840" s="4"/>
    </row>
    <row r="841" spans="1:5" ht="14.25" customHeight="1" x14ac:dyDescent="0.35">
      <c r="A841" s="4"/>
      <c r="B841" s="4"/>
      <c r="C841" s="4"/>
      <c r="D841" s="4"/>
      <c r="E841" s="4"/>
    </row>
    <row r="842" spans="1:5" ht="14.25" customHeight="1" x14ac:dyDescent="0.35">
      <c r="A842" s="4"/>
      <c r="B842" s="4"/>
      <c r="C842" s="4"/>
      <c r="D842" s="4"/>
      <c r="E842" s="4"/>
    </row>
    <row r="843" spans="1:5" ht="14.25" customHeight="1" x14ac:dyDescent="0.35">
      <c r="A843" s="4"/>
      <c r="B843" s="4"/>
      <c r="C843" s="4"/>
      <c r="D843" s="4"/>
      <c r="E843" s="4"/>
    </row>
    <row r="844" spans="1:5" ht="14.25" customHeight="1" x14ac:dyDescent="0.35">
      <c r="A844" s="4"/>
      <c r="B844" s="4"/>
      <c r="C844" s="4"/>
      <c r="D844" s="4"/>
      <c r="E844" s="4"/>
    </row>
    <row r="845" spans="1:5" ht="14.25" customHeight="1" x14ac:dyDescent="0.35">
      <c r="A845" s="4"/>
      <c r="B845" s="4"/>
      <c r="C845" s="4"/>
      <c r="D845" s="4"/>
      <c r="E845" s="4"/>
    </row>
    <row r="846" spans="1:5" ht="14.25" customHeight="1" x14ac:dyDescent="0.35">
      <c r="A846" s="4"/>
      <c r="B846" s="4"/>
      <c r="C846" s="4"/>
      <c r="D846" s="4"/>
      <c r="E846" s="4"/>
    </row>
    <row r="847" spans="1:5" ht="14.25" customHeight="1" x14ac:dyDescent="0.35">
      <c r="A847" s="4"/>
      <c r="B847" s="4"/>
      <c r="C847" s="4"/>
      <c r="D847" s="4"/>
      <c r="E847" s="4"/>
    </row>
    <row r="848" spans="1:5" ht="14.25" customHeight="1" x14ac:dyDescent="0.35">
      <c r="A848" s="4"/>
      <c r="B848" s="4"/>
      <c r="C848" s="4"/>
      <c r="D848" s="4"/>
      <c r="E848" s="4"/>
    </row>
    <row r="849" spans="1:5" ht="14.25" customHeight="1" x14ac:dyDescent="0.35">
      <c r="A849" s="4"/>
      <c r="B849" s="4"/>
      <c r="C849" s="4"/>
      <c r="D849" s="4"/>
      <c r="E849" s="4"/>
    </row>
    <row r="850" spans="1:5" ht="14.25" customHeight="1" x14ac:dyDescent="0.35">
      <c r="A850" s="4"/>
      <c r="B850" s="4"/>
      <c r="C850" s="4"/>
      <c r="D850" s="4"/>
      <c r="E850" s="4"/>
    </row>
    <row r="851" spans="1:5" ht="14.25" customHeight="1" x14ac:dyDescent="0.35">
      <c r="A851" s="4"/>
      <c r="B851" s="4"/>
      <c r="C851" s="4"/>
      <c r="D851" s="4"/>
      <c r="E851" s="4"/>
    </row>
    <row r="852" spans="1:5" ht="14.25" customHeight="1" x14ac:dyDescent="0.35">
      <c r="A852" s="4"/>
      <c r="B852" s="4"/>
      <c r="C852" s="4"/>
      <c r="D852" s="4"/>
      <c r="E852" s="4"/>
    </row>
    <row r="853" spans="1:5" ht="14.25" customHeight="1" x14ac:dyDescent="0.35">
      <c r="A853" s="4"/>
      <c r="B853" s="4"/>
      <c r="C853" s="4"/>
      <c r="D853" s="4"/>
      <c r="E853" s="4"/>
    </row>
    <row r="854" spans="1:5" ht="14.25" customHeight="1" x14ac:dyDescent="0.35">
      <c r="A854" s="4"/>
      <c r="B854" s="4"/>
      <c r="C854" s="4"/>
      <c r="D854" s="4"/>
      <c r="E854" s="4"/>
    </row>
    <row r="855" spans="1:5" ht="14.25" customHeight="1" x14ac:dyDescent="0.35">
      <c r="A855" s="4"/>
      <c r="B855" s="4"/>
      <c r="C855" s="4"/>
      <c r="D855" s="4"/>
      <c r="E855" s="4"/>
    </row>
    <row r="856" spans="1:5" ht="14.25" customHeight="1" x14ac:dyDescent="0.35">
      <c r="A856" s="4"/>
      <c r="B856" s="4"/>
      <c r="C856" s="4"/>
      <c r="D856" s="4"/>
      <c r="E856" s="4"/>
    </row>
    <row r="857" spans="1:5" ht="14.25" customHeight="1" x14ac:dyDescent="0.35">
      <c r="A857" s="4"/>
      <c r="B857" s="4"/>
      <c r="C857" s="4"/>
      <c r="D857" s="4"/>
      <c r="E857" s="4"/>
    </row>
    <row r="858" spans="1:5" ht="14.25" customHeight="1" x14ac:dyDescent="0.35">
      <c r="A858" s="4"/>
      <c r="B858" s="4"/>
      <c r="C858" s="4"/>
      <c r="D858" s="4"/>
      <c r="E858" s="4"/>
    </row>
    <row r="859" spans="1:5" ht="14.25" customHeight="1" x14ac:dyDescent="0.35">
      <c r="A859" s="4"/>
      <c r="B859" s="4"/>
      <c r="C859" s="4"/>
      <c r="D859" s="4"/>
      <c r="E859" s="4"/>
    </row>
    <row r="860" spans="1:5" ht="14.25" customHeight="1" x14ac:dyDescent="0.35">
      <c r="A860" s="4"/>
      <c r="B860" s="4"/>
      <c r="C860" s="4"/>
      <c r="D860" s="4"/>
      <c r="E860" s="4"/>
    </row>
    <row r="861" spans="1:5" ht="14.25" customHeight="1" x14ac:dyDescent="0.35">
      <c r="A861" s="4"/>
      <c r="B861" s="4"/>
      <c r="C861" s="4"/>
      <c r="D861" s="4"/>
      <c r="E861" s="4"/>
    </row>
    <row r="862" spans="1:5" ht="14.25" customHeight="1" x14ac:dyDescent="0.35">
      <c r="A862" s="4"/>
      <c r="B862" s="4"/>
      <c r="C862" s="4"/>
      <c r="D862" s="4"/>
      <c r="E862" s="4"/>
    </row>
    <row r="863" spans="1:5" ht="14.25" customHeight="1" x14ac:dyDescent="0.35">
      <c r="A863" s="4"/>
      <c r="B863" s="4"/>
      <c r="C863" s="4"/>
      <c r="D863" s="4"/>
      <c r="E863" s="4"/>
    </row>
    <row r="864" spans="1:5" ht="14.25" customHeight="1" x14ac:dyDescent="0.35">
      <c r="A864" s="4"/>
      <c r="B864" s="4"/>
      <c r="C864" s="4"/>
      <c r="D864" s="4"/>
      <c r="E864" s="4"/>
    </row>
    <row r="865" spans="1:5" ht="14.25" customHeight="1" x14ac:dyDescent="0.35">
      <c r="A865" s="4"/>
      <c r="B865" s="4"/>
      <c r="C865" s="4"/>
      <c r="D865" s="4"/>
      <c r="E865" s="4"/>
    </row>
    <row r="866" spans="1:5" ht="14.25" customHeight="1" x14ac:dyDescent="0.35">
      <c r="A866" s="4"/>
      <c r="B866" s="4"/>
      <c r="C866" s="4"/>
      <c r="D866" s="4"/>
      <c r="E866" s="4"/>
    </row>
    <row r="867" spans="1:5" ht="14.25" customHeight="1" x14ac:dyDescent="0.35">
      <c r="A867" s="4"/>
      <c r="B867" s="4"/>
      <c r="C867" s="4"/>
      <c r="D867" s="4"/>
      <c r="E867" s="4"/>
    </row>
    <row r="868" spans="1:5" ht="14.25" customHeight="1" x14ac:dyDescent="0.35">
      <c r="A868" s="4"/>
      <c r="B868" s="4"/>
      <c r="C868" s="4"/>
      <c r="D868" s="4"/>
      <c r="E868" s="4"/>
    </row>
    <row r="869" spans="1:5" ht="14.25" customHeight="1" x14ac:dyDescent="0.35">
      <c r="A869" s="4"/>
      <c r="B869" s="4"/>
      <c r="C869" s="4"/>
      <c r="D869" s="4"/>
      <c r="E869" s="4"/>
    </row>
    <row r="870" spans="1:5" ht="14.25" customHeight="1" x14ac:dyDescent="0.35">
      <c r="A870" s="4"/>
      <c r="B870" s="4"/>
      <c r="C870" s="4"/>
      <c r="D870" s="4"/>
      <c r="E870" s="4"/>
    </row>
    <row r="871" spans="1:5" ht="14.25" customHeight="1" x14ac:dyDescent="0.35">
      <c r="A871" s="4"/>
      <c r="B871" s="4"/>
      <c r="C871" s="4"/>
      <c r="D871" s="4"/>
      <c r="E871" s="4"/>
    </row>
    <row r="872" spans="1:5" ht="14.25" customHeight="1" x14ac:dyDescent="0.35">
      <c r="A872" s="4"/>
      <c r="B872" s="4"/>
      <c r="C872" s="4"/>
      <c r="D872" s="4"/>
      <c r="E872" s="4"/>
    </row>
    <row r="873" spans="1:5" ht="14.25" customHeight="1" x14ac:dyDescent="0.35">
      <c r="A873" s="4"/>
      <c r="B873" s="4"/>
      <c r="C873" s="4"/>
      <c r="D873" s="4"/>
      <c r="E873" s="4"/>
    </row>
    <row r="874" spans="1:5" ht="14.25" customHeight="1" x14ac:dyDescent="0.35">
      <c r="A874" s="4"/>
      <c r="B874" s="4"/>
      <c r="C874" s="4"/>
      <c r="D874" s="4"/>
      <c r="E874" s="4"/>
    </row>
    <row r="875" spans="1:5" ht="14.25" customHeight="1" x14ac:dyDescent="0.35">
      <c r="A875" s="4"/>
      <c r="B875" s="4"/>
      <c r="C875" s="4"/>
      <c r="D875" s="4"/>
      <c r="E875" s="4"/>
    </row>
    <row r="876" spans="1:5" ht="14.25" customHeight="1" x14ac:dyDescent="0.35">
      <c r="A876" s="4"/>
      <c r="B876" s="4"/>
      <c r="C876" s="4"/>
      <c r="D876" s="4"/>
      <c r="E876" s="4"/>
    </row>
    <row r="877" spans="1:5" ht="14.25" customHeight="1" x14ac:dyDescent="0.35">
      <c r="A877" s="4"/>
      <c r="B877" s="4"/>
      <c r="C877" s="4"/>
      <c r="D877" s="4"/>
      <c r="E877" s="4"/>
    </row>
    <row r="878" spans="1:5" ht="14.25" customHeight="1" x14ac:dyDescent="0.35">
      <c r="A878" s="4"/>
      <c r="B878" s="4"/>
      <c r="C878" s="4"/>
      <c r="D878" s="4"/>
      <c r="E878" s="4"/>
    </row>
    <row r="879" spans="1:5" ht="14.25" customHeight="1" x14ac:dyDescent="0.35">
      <c r="A879" s="4"/>
      <c r="B879" s="4"/>
      <c r="C879" s="4"/>
      <c r="D879" s="4"/>
      <c r="E879" s="4"/>
    </row>
    <row r="880" spans="1:5" ht="14.25" customHeight="1" x14ac:dyDescent="0.35">
      <c r="A880" s="4"/>
      <c r="B880" s="4"/>
      <c r="C880" s="4"/>
      <c r="D880" s="4"/>
      <c r="E880" s="4"/>
    </row>
    <row r="881" spans="1:5" ht="14.25" customHeight="1" x14ac:dyDescent="0.35">
      <c r="A881" s="4"/>
      <c r="B881" s="4"/>
      <c r="C881" s="4"/>
      <c r="D881" s="4"/>
      <c r="E881" s="4"/>
    </row>
    <row r="882" spans="1:5" ht="14.25" customHeight="1" x14ac:dyDescent="0.35">
      <c r="A882" s="4"/>
      <c r="B882" s="4"/>
      <c r="C882" s="4"/>
      <c r="D882" s="4"/>
      <c r="E882" s="4"/>
    </row>
    <row r="883" spans="1:5" ht="14.25" customHeight="1" x14ac:dyDescent="0.35">
      <c r="A883" s="4"/>
      <c r="B883" s="4"/>
      <c r="C883" s="4"/>
      <c r="D883" s="4"/>
      <c r="E883" s="4"/>
    </row>
    <row r="884" spans="1:5" ht="14.25" customHeight="1" x14ac:dyDescent="0.35">
      <c r="A884" s="4"/>
      <c r="B884" s="4"/>
      <c r="C884" s="4"/>
      <c r="D884" s="4"/>
      <c r="E884" s="4"/>
    </row>
    <row r="885" spans="1:5" ht="14.25" customHeight="1" x14ac:dyDescent="0.35">
      <c r="A885" s="4"/>
      <c r="B885" s="4"/>
      <c r="C885" s="4"/>
      <c r="D885" s="4"/>
      <c r="E885" s="4"/>
    </row>
    <row r="886" spans="1:5" ht="14.25" customHeight="1" x14ac:dyDescent="0.35">
      <c r="A886" s="4"/>
      <c r="B886" s="4"/>
      <c r="C886" s="4"/>
      <c r="D886" s="4"/>
      <c r="E886" s="4"/>
    </row>
    <row r="887" spans="1:5" ht="14.25" customHeight="1" x14ac:dyDescent="0.35">
      <c r="A887" s="4"/>
      <c r="B887" s="4"/>
      <c r="C887" s="4"/>
      <c r="D887" s="4"/>
      <c r="E887" s="4"/>
    </row>
    <row r="888" spans="1:5" ht="14.25" customHeight="1" x14ac:dyDescent="0.35">
      <c r="A888" s="4"/>
      <c r="B888" s="4"/>
      <c r="C888" s="4"/>
      <c r="D888" s="4"/>
      <c r="E888" s="4"/>
    </row>
    <row r="889" spans="1:5" ht="14.25" customHeight="1" x14ac:dyDescent="0.35">
      <c r="A889" s="4"/>
      <c r="B889" s="4"/>
      <c r="C889" s="4"/>
      <c r="D889" s="4"/>
      <c r="E889" s="4"/>
    </row>
    <row r="890" spans="1:5" ht="14.25" customHeight="1" x14ac:dyDescent="0.35">
      <c r="A890" s="4"/>
      <c r="B890" s="4"/>
      <c r="C890" s="4"/>
      <c r="D890" s="4"/>
      <c r="E890" s="4"/>
    </row>
    <row r="891" spans="1:5" ht="14.25" customHeight="1" x14ac:dyDescent="0.35">
      <c r="A891" s="4"/>
      <c r="B891" s="4"/>
      <c r="C891" s="4"/>
      <c r="D891" s="4"/>
      <c r="E891" s="4"/>
    </row>
    <row r="892" spans="1:5" ht="14.25" customHeight="1" x14ac:dyDescent="0.35">
      <c r="A892" s="4"/>
      <c r="B892" s="4"/>
      <c r="C892" s="4"/>
      <c r="D892" s="4"/>
      <c r="E892" s="4"/>
    </row>
    <row r="893" spans="1:5" ht="14.25" customHeight="1" x14ac:dyDescent="0.35">
      <c r="A893" s="4"/>
      <c r="B893" s="4"/>
      <c r="C893" s="4"/>
      <c r="D893" s="4"/>
      <c r="E893" s="4"/>
    </row>
    <row r="894" spans="1:5" ht="14.25" customHeight="1" x14ac:dyDescent="0.35">
      <c r="A894" s="4"/>
      <c r="B894" s="4"/>
      <c r="C894" s="4"/>
      <c r="D894" s="4"/>
      <c r="E894" s="4"/>
    </row>
    <row r="895" spans="1:5" ht="14.25" customHeight="1" x14ac:dyDescent="0.35">
      <c r="A895" s="4"/>
      <c r="B895" s="4"/>
      <c r="C895" s="4"/>
      <c r="D895" s="4"/>
      <c r="E895" s="4"/>
    </row>
    <row r="896" spans="1:5" ht="14.25" customHeight="1" x14ac:dyDescent="0.35">
      <c r="A896" s="4"/>
      <c r="B896" s="4"/>
      <c r="C896" s="4"/>
      <c r="D896" s="4"/>
      <c r="E896" s="4"/>
    </row>
    <row r="897" spans="1:5" ht="14.25" customHeight="1" x14ac:dyDescent="0.35">
      <c r="A897" s="4"/>
      <c r="B897" s="4"/>
      <c r="C897" s="4"/>
      <c r="D897" s="4"/>
      <c r="E897" s="4"/>
    </row>
    <row r="898" spans="1:5" ht="14.25" customHeight="1" x14ac:dyDescent="0.35">
      <c r="A898" s="4"/>
      <c r="B898" s="4"/>
      <c r="C898" s="4"/>
      <c r="D898" s="4"/>
      <c r="E898" s="4"/>
    </row>
    <row r="899" spans="1:5" ht="14.25" customHeight="1" x14ac:dyDescent="0.35">
      <c r="A899" s="4"/>
      <c r="B899" s="4"/>
      <c r="C899" s="4"/>
      <c r="D899" s="4"/>
      <c r="E899" s="4"/>
    </row>
    <row r="900" spans="1:5" ht="14.25" customHeight="1" x14ac:dyDescent="0.35">
      <c r="A900" s="4"/>
      <c r="B900" s="4"/>
      <c r="C900" s="4"/>
      <c r="D900" s="4"/>
      <c r="E900" s="4"/>
    </row>
    <row r="901" spans="1:5" ht="14.25" customHeight="1" x14ac:dyDescent="0.35">
      <c r="A901" s="4"/>
      <c r="B901" s="4"/>
      <c r="C901" s="4"/>
      <c r="D901" s="4"/>
      <c r="E901" s="4"/>
    </row>
    <row r="902" spans="1:5" ht="14.25" customHeight="1" x14ac:dyDescent="0.35">
      <c r="A902" s="4"/>
      <c r="B902" s="4"/>
      <c r="C902" s="4"/>
      <c r="D902" s="4"/>
      <c r="E902" s="4"/>
    </row>
    <row r="903" spans="1:5" ht="14.25" customHeight="1" x14ac:dyDescent="0.35">
      <c r="A903" s="4"/>
      <c r="B903" s="4"/>
      <c r="C903" s="4"/>
      <c r="D903" s="4"/>
      <c r="E903" s="4"/>
    </row>
    <row r="904" spans="1:5" ht="14.25" customHeight="1" x14ac:dyDescent="0.35">
      <c r="A904" s="4"/>
      <c r="B904" s="4"/>
      <c r="C904" s="4"/>
      <c r="D904" s="4"/>
      <c r="E904" s="4"/>
    </row>
    <row r="905" spans="1:5" ht="14.25" customHeight="1" x14ac:dyDescent="0.35">
      <c r="A905" s="4"/>
      <c r="B905" s="4"/>
      <c r="C905" s="4"/>
      <c r="D905" s="4"/>
      <c r="E905" s="4"/>
    </row>
    <row r="906" spans="1:5" ht="14.25" customHeight="1" x14ac:dyDescent="0.35">
      <c r="A906" s="4"/>
      <c r="B906" s="4"/>
      <c r="C906" s="4"/>
      <c r="D906" s="4"/>
      <c r="E906" s="4"/>
    </row>
    <row r="907" spans="1:5" ht="14.25" customHeight="1" x14ac:dyDescent="0.35">
      <c r="A907" s="4"/>
      <c r="B907" s="4"/>
      <c r="C907" s="4"/>
      <c r="D907" s="4"/>
      <c r="E907" s="4"/>
    </row>
    <row r="908" spans="1:5" ht="14.25" customHeight="1" x14ac:dyDescent="0.35">
      <c r="A908" s="4"/>
      <c r="B908" s="4"/>
      <c r="C908" s="4"/>
      <c r="D908" s="4"/>
      <c r="E908" s="4"/>
    </row>
    <row r="909" spans="1:5" ht="14.25" customHeight="1" x14ac:dyDescent="0.35">
      <c r="A909" s="4"/>
      <c r="B909" s="4"/>
      <c r="C909" s="4"/>
      <c r="D909" s="4"/>
      <c r="E909" s="4"/>
    </row>
    <row r="910" spans="1:5" ht="14.25" customHeight="1" x14ac:dyDescent="0.35">
      <c r="A910" s="4"/>
      <c r="B910" s="4"/>
      <c r="C910" s="4"/>
      <c r="D910" s="4"/>
      <c r="E910" s="4"/>
    </row>
    <row r="911" spans="1:5" ht="14.25" customHeight="1" x14ac:dyDescent="0.35">
      <c r="A911" s="4"/>
      <c r="B911" s="4"/>
      <c r="C911" s="4"/>
      <c r="D911" s="4"/>
      <c r="E911" s="4"/>
    </row>
    <row r="912" spans="1:5" ht="14.25" customHeight="1" x14ac:dyDescent="0.35">
      <c r="A912" s="4"/>
      <c r="B912" s="4"/>
      <c r="C912" s="4"/>
      <c r="D912" s="4"/>
      <c r="E912" s="4"/>
    </row>
    <row r="913" spans="1:5" ht="14.25" customHeight="1" x14ac:dyDescent="0.35">
      <c r="A913" s="4"/>
      <c r="B913" s="4"/>
      <c r="C913" s="4"/>
      <c r="D913" s="4"/>
      <c r="E913" s="4"/>
    </row>
    <row r="914" spans="1:5" ht="14.25" customHeight="1" x14ac:dyDescent="0.35">
      <c r="A914" s="4"/>
      <c r="B914" s="4"/>
      <c r="C914" s="4"/>
      <c r="D914" s="4"/>
      <c r="E914" s="4"/>
    </row>
    <row r="915" spans="1:5" ht="14.25" customHeight="1" x14ac:dyDescent="0.35">
      <c r="A915" s="4"/>
      <c r="B915" s="4"/>
      <c r="C915" s="4"/>
      <c r="D915" s="4"/>
      <c r="E915" s="4"/>
    </row>
    <row r="916" spans="1:5" ht="14.25" customHeight="1" x14ac:dyDescent="0.35">
      <c r="A916" s="4"/>
      <c r="B916" s="4"/>
      <c r="C916" s="4"/>
      <c r="D916" s="4"/>
      <c r="E916" s="4"/>
    </row>
    <row r="917" spans="1:5" ht="14.25" customHeight="1" x14ac:dyDescent="0.35">
      <c r="A917" s="4"/>
      <c r="B917" s="4"/>
      <c r="C917" s="4"/>
      <c r="D917" s="4"/>
      <c r="E917" s="4"/>
    </row>
    <row r="918" spans="1:5" ht="14.25" customHeight="1" x14ac:dyDescent="0.35">
      <c r="A918" s="4"/>
      <c r="B918" s="4"/>
      <c r="C918" s="4"/>
      <c r="D918" s="4"/>
      <c r="E918" s="4"/>
    </row>
    <row r="919" spans="1:5" ht="14.25" customHeight="1" x14ac:dyDescent="0.35">
      <c r="A919" s="4"/>
      <c r="B919" s="4"/>
      <c r="C919" s="4"/>
      <c r="D919" s="4"/>
      <c r="E919" s="4"/>
    </row>
    <row r="920" spans="1:5" ht="14.25" customHeight="1" x14ac:dyDescent="0.35">
      <c r="A920" s="4"/>
      <c r="B920" s="4"/>
      <c r="C920" s="4"/>
      <c r="D920" s="4"/>
      <c r="E920" s="4"/>
    </row>
    <row r="921" spans="1:5" ht="14.25" customHeight="1" x14ac:dyDescent="0.35">
      <c r="A921" s="4"/>
      <c r="B921" s="4"/>
      <c r="C921" s="4"/>
      <c r="D921" s="4"/>
      <c r="E921" s="4"/>
    </row>
    <row r="922" spans="1:5" ht="14.25" customHeight="1" x14ac:dyDescent="0.35">
      <c r="A922" s="4"/>
      <c r="B922" s="4"/>
      <c r="C922" s="4"/>
      <c r="D922" s="4"/>
      <c r="E922" s="4"/>
    </row>
    <row r="923" spans="1:5" ht="14.25" customHeight="1" x14ac:dyDescent="0.35">
      <c r="A923" s="4"/>
      <c r="B923" s="4"/>
      <c r="C923" s="4"/>
      <c r="D923" s="4"/>
      <c r="E923" s="4"/>
    </row>
    <row r="924" spans="1:5" ht="14.25" customHeight="1" x14ac:dyDescent="0.35">
      <c r="A924" s="4"/>
      <c r="B924" s="4"/>
      <c r="C924" s="4"/>
      <c r="D924" s="4"/>
      <c r="E924" s="4"/>
    </row>
    <row r="925" spans="1:5" ht="14.25" customHeight="1" x14ac:dyDescent="0.35">
      <c r="A925" s="4"/>
      <c r="B925" s="4"/>
      <c r="C925" s="4"/>
      <c r="D925" s="4"/>
      <c r="E925" s="4"/>
    </row>
    <row r="926" spans="1:5" ht="14.25" customHeight="1" x14ac:dyDescent="0.35">
      <c r="A926" s="4"/>
      <c r="B926" s="4"/>
      <c r="C926" s="4"/>
      <c r="D926" s="4"/>
      <c r="E926" s="4"/>
    </row>
    <row r="927" spans="1:5" ht="14.25" customHeight="1" x14ac:dyDescent="0.35">
      <c r="A927" s="4"/>
      <c r="B927" s="4"/>
      <c r="C927" s="4"/>
      <c r="D927" s="4"/>
      <c r="E927" s="4"/>
    </row>
    <row r="928" spans="1:5" ht="14.25" customHeight="1" x14ac:dyDescent="0.35">
      <c r="A928" s="4"/>
      <c r="B928" s="4"/>
      <c r="C928" s="4"/>
      <c r="D928" s="4"/>
      <c r="E928" s="4"/>
    </row>
    <row r="929" spans="1:5" ht="14.25" customHeight="1" x14ac:dyDescent="0.35">
      <c r="A929" s="4"/>
      <c r="B929" s="4"/>
      <c r="C929" s="4"/>
      <c r="D929" s="4"/>
      <c r="E929" s="4"/>
    </row>
    <row r="930" spans="1:5" ht="14.25" customHeight="1" x14ac:dyDescent="0.35">
      <c r="A930" s="4"/>
      <c r="B930" s="4"/>
      <c r="C930" s="4"/>
      <c r="D930" s="4"/>
      <c r="E930" s="4"/>
    </row>
    <row r="931" spans="1:5" ht="14.25" customHeight="1" x14ac:dyDescent="0.35">
      <c r="A931" s="4"/>
      <c r="B931" s="4"/>
      <c r="C931" s="4"/>
      <c r="D931" s="4"/>
      <c r="E931" s="4"/>
    </row>
    <row r="932" spans="1:5" ht="14.25" customHeight="1" x14ac:dyDescent="0.35">
      <c r="A932" s="4"/>
      <c r="B932" s="4"/>
      <c r="C932" s="4"/>
      <c r="D932" s="4"/>
      <c r="E932" s="4"/>
    </row>
    <row r="933" spans="1:5" ht="14.25" customHeight="1" x14ac:dyDescent="0.35">
      <c r="A933" s="4"/>
      <c r="B933" s="4"/>
      <c r="C933" s="4"/>
      <c r="D933" s="4"/>
      <c r="E933" s="4"/>
    </row>
    <row r="934" spans="1:5" ht="14.25" customHeight="1" x14ac:dyDescent="0.35">
      <c r="A934" s="4"/>
      <c r="B934" s="4"/>
      <c r="C934" s="4"/>
      <c r="D934" s="4"/>
      <c r="E934" s="4"/>
    </row>
    <row r="935" spans="1:5" ht="14.25" customHeight="1" x14ac:dyDescent="0.35">
      <c r="A935" s="4"/>
      <c r="B935" s="4"/>
      <c r="C935" s="4"/>
      <c r="D935" s="4"/>
      <c r="E935" s="4"/>
    </row>
    <row r="936" spans="1:5" ht="14.25" customHeight="1" x14ac:dyDescent="0.35">
      <c r="A936" s="4"/>
      <c r="B936" s="4"/>
      <c r="C936" s="4"/>
      <c r="D936" s="4"/>
      <c r="E936" s="4"/>
    </row>
    <row r="937" spans="1:5" ht="14.25" customHeight="1" x14ac:dyDescent="0.35">
      <c r="A937" s="4"/>
      <c r="B937" s="4"/>
      <c r="C937" s="4"/>
      <c r="D937" s="4"/>
      <c r="E937" s="4"/>
    </row>
    <row r="938" spans="1:5" ht="14.25" customHeight="1" x14ac:dyDescent="0.35">
      <c r="A938" s="4"/>
      <c r="B938" s="4"/>
      <c r="C938" s="4"/>
      <c r="D938" s="4"/>
      <c r="E938" s="4"/>
    </row>
    <row r="939" spans="1:5" ht="14.25" customHeight="1" x14ac:dyDescent="0.35">
      <c r="A939" s="4"/>
      <c r="B939" s="4"/>
      <c r="C939" s="4"/>
      <c r="D939" s="4"/>
      <c r="E939" s="4"/>
    </row>
    <row r="940" spans="1:5" ht="14.25" customHeight="1" x14ac:dyDescent="0.35">
      <c r="A940" s="4"/>
      <c r="B940" s="4"/>
      <c r="C940" s="4"/>
      <c r="D940" s="4"/>
      <c r="E940" s="4"/>
    </row>
    <row r="941" spans="1:5" ht="14.25" customHeight="1" x14ac:dyDescent="0.35">
      <c r="A941" s="4"/>
      <c r="B941" s="4"/>
      <c r="C941" s="4"/>
      <c r="D941" s="4"/>
      <c r="E941" s="4"/>
    </row>
    <row r="942" spans="1:5" ht="14.25" customHeight="1" x14ac:dyDescent="0.35">
      <c r="A942" s="4"/>
      <c r="B942" s="4"/>
      <c r="C942" s="4"/>
      <c r="D942" s="4"/>
      <c r="E942" s="4"/>
    </row>
    <row r="943" spans="1:5" ht="14.25" customHeight="1" x14ac:dyDescent="0.35">
      <c r="A943" s="4"/>
      <c r="B943" s="4"/>
      <c r="C943" s="4"/>
      <c r="D943" s="4"/>
      <c r="E943" s="4"/>
    </row>
    <row r="944" spans="1:5" ht="14.25" customHeight="1" x14ac:dyDescent="0.35">
      <c r="A944" s="4"/>
      <c r="B944" s="4"/>
      <c r="C944" s="4"/>
      <c r="D944" s="4"/>
      <c r="E944" s="4"/>
    </row>
    <row r="945" spans="1:5" ht="14.25" customHeight="1" x14ac:dyDescent="0.35">
      <c r="A945" s="4"/>
      <c r="B945" s="4"/>
      <c r="C945" s="4"/>
      <c r="D945" s="4"/>
      <c r="E945" s="4"/>
    </row>
    <row r="946" spans="1:5" ht="14.25" customHeight="1" x14ac:dyDescent="0.35">
      <c r="A946" s="4"/>
      <c r="B946" s="4"/>
      <c r="C946" s="4"/>
      <c r="D946" s="4"/>
      <c r="E946" s="4"/>
    </row>
    <row r="947" spans="1:5" ht="14.25" customHeight="1" x14ac:dyDescent="0.35">
      <c r="A947" s="4"/>
      <c r="B947" s="4"/>
      <c r="C947" s="4"/>
      <c r="D947" s="4"/>
      <c r="E947" s="4"/>
    </row>
    <row r="948" spans="1:5" ht="14.25" customHeight="1" x14ac:dyDescent="0.35">
      <c r="A948" s="4"/>
      <c r="B948" s="4"/>
      <c r="C948" s="4"/>
      <c r="D948" s="4"/>
      <c r="E948" s="4"/>
    </row>
    <row r="949" spans="1:5" ht="14.25" customHeight="1" x14ac:dyDescent="0.35">
      <c r="A949" s="4"/>
      <c r="B949" s="4"/>
      <c r="C949" s="4"/>
      <c r="D949" s="4"/>
      <c r="E949" s="4"/>
    </row>
    <row r="950" spans="1:5" ht="14.25" customHeight="1" x14ac:dyDescent="0.35">
      <c r="A950" s="4"/>
      <c r="B950" s="4"/>
      <c r="C950" s="4"/>
      <c r="D950" s="4"/>
      <c r="E950" s="4"/>
    </row>
    <row r="951" spans="1:5" ht="14.25" customHeight="1" x14ac:dyDescent="0.35">
      <c r="A951" s="4"/>
      <c r="B951" s="4"/>
      <c r="C951" s="4"/>
      <c r="D951" s="4"/>
      <c r="E951" s="4"/>
    </row>
    <row r="952" spans="1:5" ht="14.25" customHeight="1" x14ac:dyDescent="0.35">
      <c r="A952" s="4"/>
      <c r="B952" s="4"/>
      <c r="C952" s="4"/>
      <c r="D952" s="4"/>
      <c r="E952" s="4"/>
    </row>
    <row r="953" spans="1:5" ht="14.25" customHeight="1" x14ac:dyDescent="0.35">
      <c r="A953" s="4"/>
      <c r="B953" s="4"/>
      <c r="C953" s="4"/>
      <c r="D953" s="4"/>
      <c r="E953" s="4"/>
    </row>
    <row r="954" spans="1:5" ht="14.25" customHeight="1" x14ac:dyDescent="0.35">
      <c r="A954" s="4"/>
      <c r="B954" s="4"/>
      <c r="C954" s="4"/>
      <c r="D954" s="4"/>
      <c r="E954" s="4"/>
    </row>
    <row r="955" spans="1:5" ht="14.25" customHeight="1" x14ac:dyDescent="0.35">
      <c r="A955" s="4"/>
      <c r="B955" s="4"/>
      <c r="C955" s="4"/>
      <c r="D955" s="4"/>
      <c r="E955" s="4"/>
    </row>
    <row r="956" spans="1:5" ht="14.25" customHeight="1" x14ac:dyDescent="0.35">
      <c r="A956" s="4"/>
      <c r="B956" s="4"/>
      <c r="C956" s="4"/>
      <c r="D956" s="4"/>
      <c r="E956" s="4"/>
    </row>
    <row r="957" spans="1:5" ht="14.25" customHeight="1" x14ac:dyDescent="0.35">
      <c r="A957" s="4"/>
      <c r="B957" s="4"/>
      <c r="C957" s="4"/>
      <c r="D957" s="4"/>
      <c r="E957" s="4"/>
    </row>
    <row r="958" spans="1:5" ht="14.25" customHeight="1" x14ac:dyDescent="0.35">
      <c r="A958" s="4"/>
      <c r="B958" s="4"/>
      <c r="C958" s="4"/>
      <c r="D958" s="4"/>
      <c r="E958" s="4"/>
    </row>
    <row r="959" spans="1:5" ht="14.25" customHeight="1" x14ac:dyDescent="0.35">
      <c r="A959" s="4"/>
      <c r="B959" s="4"/>
      <c r="C959" s="4"/>
      <c r="D959" s="4"/>
      <c r="E959" s="4"/>
    </row>
    <row r="960" spans="1:5" ht="14.25" customHeight="1" x14ac:dyDescent="0.35">
      <c r="A960" s="4"/>
      <c r="B960" s="4"/>
      <c r="C960" s="4"/>
      <c r="D960" s="4"/>
      <c r="E960" s="4"/>
    </row>
    <row r="961" spans="1:5" ht="14.25" customHeight="1" x14ac:dyDescent="0.35">
      <c r="A961" s="4"/>
      <c r="B961" s="4"/>
      <c r="C961" s="4"/>
      <c r="D961" s="4"/>
      <c r="E961" s="4"/>
    </row>
    <row r="962" spans="1:5" ht="14.25" customHeight="1" x14ac:dyDescent="0.35">
      <c r="A962" s="4"/>
      <c r="B962" s="4"/>
      <c r="C962" s="4"/>
      <c r="D962" s="4"/>
      <c r="E962" s="4"/>
    </row>
    <row r="963" spans="1:5" ht="14.25" customHeight="1" x14ac:dyDescent="0.35">
      <c r="A963" s="4"/>
      <c r="B963" s="4"/>
      <c r="C963" s="4"/>
      <c r="D963" s="4"/>
      <c r="E963" s="4"/>
    </row>
    <row r="964" spans="1:5" ht="14.25" customHeight="1" x14ac:dyDescent="0.35">
      <c r="A964" s="4"/>
      <c r="B964" s="4"/>
      <c r="C964" s="4"/>
      <c r="D964" s="4"/>
      <c r="E964" s="4"/>
    </row>
    <row r="965" spans="1:5" ht="14.25" customHeight="1" x14ac:dyDescent="0.35">
      <c r="A965" s="4"/>
      <c r="B965" s="4"/>
      <c r="C965" s="4"/>
      <c r="D965" s="4"/>
      <c r="E965" s="4"/>
    </row>
    <row r="966" spans="1:5" ht="14.25" customHeight="1" x14ac:dyDescent="0.35">
      <c r="A966" s="4"/>
      <c r="B966" s="4"/>
      <c r="C966" s="4"/>
      <c r="D966" s="4"/>
      <c r="E966" s="4"/>
    </row>
    <row r="967" spans="1:5" ht="14.25" customHeight="1" x14ac:dyDescent="0.35">
      <c r="A967" s="4"/>
      <c r="B967" s="4"/>
      <c r="C967" s="4"/>
      <c r="D967" s="4"/>
      <c r="E967" s="4"/>
    </row>
    <row r="968" spans="1:5" ht="14.25" customHeight="1" x14ac:dyDescent="0.35">
      <c r="A968" s="4"/>
      <c r="B968" s="4"/>
      <c r="C968" s="4"/>
      <c r="D968" s="4"/>
      <c r="E968" s="4"/>
    </row>
    <row r="969" spans="1:5" ht="14.25" customHeight="1" x14ac:dyDescent="0.35">
      <c r="A969" s="4"/>
      <c r="B969" s="4"/>
      <c r="C969" s="4"/>
      <c r="D969" s="4"/>
      <c r="E969" s="4"/>
    </row>
    <row r="970" spans="1:5" ht="14.25" customHeight="1" x14ac:dyDescent="0.35">
      <c r="A970" s="4"/>
      <c r="B970" s="4"/>
      <c r="C970" s="4"/>
      <c r="D970" s="4"/>
      <c r="E970" s="4"/>
    </row>
    <row r="971" spans="1:5" ht="14.25" customHeight="1" x14ac:dyDescent="0.35">
      <c r="A971" s="4"/>
      <c r="B971" s="4"/>
      <c r="C971" s="4"/>
      <c r="D971" s="4"/>
      <c r="E971" s="4"/>
    </row>
    <row r="972" spans="1:5" ht="14.25" customHeight="1" x14ac:dyDescent="0.35">
      <c r="A972" s="4"/>
      <c r="B972" s="4"/>
      <c r="C972" s="4"/>
      <c r="D972" s="4"/>
      <c r="E972" s="4"/>
    </row>
    <row r="973" spans="1:5" ht="14.25" customHeight="1" x14ac:dyDescent="0.35">
      <c r="A973" s="4"/>
      <c r="B973" s="4"/>
      <c r="C973" s="4"/>
      <c r="D973" s="4"/>
      <c r="E973" s="4"/>
    </row>
    <row r="974" spans="1:5" ht="14.25" customHeight="1" x14ac:dyDescent="0.35">
      <c r="A974" s="4"/>
      <c r="B974" s="4"/>
      <c r="C974" s="4"/>
      <c r="D974" s="4"/>
      <c r="E974" s="4"/>
    </row>
    <row r="975" spans="1:5" ht="14.25" customHeight="1" x14ac:dyDescent="0.35">
      <c r="A975" s="4"/>
      <c r="B975" s="4"/>
      <c r="C975" s="4"/>
      <c r="D975" s="4"/>
      <c r="E975" s="4"/>
    </row>
    <row r="976" spans="1:5" ht="14.25" customHeight="1" x14ac:dyDescent="0.35">
      <c r="A976" s="4"/>
      <c r="B976" s="4"/>
      <c r="C976" s="4"/>
      <c r="D976" s="4"/>
      <c r="E976" s="4"/>
    </row>
    <row r="977" spans="1:5" ht="14.25" customHeight="1" x14ac:dyDescent="0.35">
      <c r="A977" s="4"/>
      <c r="B977" s="4"/>
      <c r="C977" s="4"/>
      <c r="D977" s="4"/>
      <c r="E977" s="4"/>
    </row>
    <row r="978" spans="1:5" ht="14.25" customHeight="1" x14ac:dyDescent="0.35">
      <c r="A978" s="4"/>
      <c r="B978" s="4"/>
      <c r="C978" s="4"/>
      <c r="D978" s="4"/>
      <c r="E978" s="4"/>
    </row>
    <row r="979" spans="1:5" ht="14.25" customHeight="1" x14ac:dyDescent="0.35">
      <c r="A979" s="4"/>
      <c r="B979" s="4"/>
      <c r="C979" s="4"/>
      <c r="D979" s="4"/>
      <c r="E979" s="4"/>
    </row>
    <row r="980" spans="1:5" ht="14.25" customHeight="1" x14ac:dyDescent="0.35">
      <c r="A980" s="4"/>
      <c r="B980" s="4"/>
      <c r="C980" s="4"/>
      <c r="D980" s="4"/>
      <c r="E980" s="4"/>
    </row>
    <row r="981" spans="1:5" ht="14.25" customHeight="1" x14ac:dyDescent="0.35">
      <c r="A981" s="4"/>
      <c r="B981" s="4"/>
      <c r="C981" s="4"/>
      <c r="D981" s="4"/>
      <c r="E981" s="4"/>
    </row>
    <row r="982" spans="1:5" ht="14.25" customHeight="1" x14ac:dyDescent="0.35">
      <c r="A982" s="4"/>
      <c r="B982" s="4"/>
      <c r="C982" s="4"/>
      <c r="D982" s="4"/>
      <c r="E982" s="4"/>
    </row>
    <row r="983" spans="1:5" ht="14.25" customHeight="1" x14ac:dyDescent="0.35">
      <c r="A983" s="4"/>
      <c r="B983" s="4"/>
      <c r="C983" s="4"/>
      <c r="D983" s="4"/>
      <c r="E983" s="4"/>
    </row>
    <row r="984" spans="1:5" ht="14.25" customHeight="1" x14ac:dyDescent="0.35">
      <c r="A984" s="4"/>
      <c r="B984" s="4"/>
      <c r="C984" s="4"/>
      <c r="D984" s="4"/>
      <c r="E984" s="4"/>
    </row>
    <row r="985" spans="1:5" ht="14.25" customHeight="1" x14ac:dyDescent="0.35">
      <c r="A985" s="4"/>
      <c r="B985" s="4"/>
      <c r="C985" s="4"/>
      <c r="D985" s="4"/>
      <c r="E985" s="4"/>
    </row>
    <row r="986" spans="1:5" ht="14.25" customHeight="1" x14ac:dyDescent="0.35">
      <c r="A986" s="4"/>
      <c r="B986" s="4"/>
      <c r="C986" s="4"/>
      <c r="D986" s="4"/>
      <c r="E986" s="4"/>
    </row>
    <row r="987" spans="1:5" ht="14.25" customHeight="1" x14ac:dyDescent="0.35">
      <c r="A987" s="4"/>
      <c r="B987" s="4"/>
      <c r="C987" s="4"/>
      <c r="D987" s="4"/>
      <c r="E987" s="4"/>
    </row>
    <row r="988" spans="1:5" ht="14.25" customHeight="1" x14ac:dyDescent="0.35">
      <c r="A988" s="4"/>
      <c r="B988" s="4"/>
      <c r="C988" s="4"/>
      <c r="D988" s="4"/>
      <c r="E988" s="4"/>
    </row>
    <row r="989" spans="1:5" ht="14.25" customHeight="1" x14ac:dyDescent="0.35">
      <c r="A989" s="4"/>
      <c r="B989" s="4"/>
      <c r="C989" s="4"/>
      <c r="D989" s="4"/>
      <c r="E989" s="4"/>
    </row>
    <row r="990" spans="1:5" ht="14.25" customHeight="1" x14ac:dyDescent="0.35">
      <c r="A990" s="4"/>
      <c r="B990" s="4"/>
      <c r="C990" s="4"/>
      <c r="D990" s="4"/>
      <c r="E990" s="4"/>
    </row>
    <row r="991" spans="1:5" ht="14.25" customHeight="1" x14ac:dyDescent="0.35">
      <c r="A991" s="4"/>
      <c r="B991" s="4"/>
      <c r="C991" s="4"/>
      <c r="D991" s="4"/>
      <c r="E991" s="4"/>
    </row>
    <row r="992" spans="1:5" ht="14.25" customHeight="1" x14ac:dyDescent="0.35">
      <c r="A992" s="4"/>
      <c r="B992" s="4"/>
      <c r="C992" s="4"/>
      <c r="D992" s="4"/>
      <c r="E992" s="4"/>
    </row>
    <row r="993" spans="1:5" ht="14.25" customHeight="1" x14ac:dyDescent="0.35">
      <c r="A993" s="4"/>
      <c r="B993" s="4"/>
      <c r="C993" s="4"/>
      <c r="D993" s="4"/>
      <c r="E993" s="4"/>
    </row>
    <row r="994" spans="1:5" ht="14.25" customHeight="1" x14ac:dyDescent="0.35">
      <c r="A994" s="4"/>
      <c r="B994" s="4"/>
      <c r="C994" s="4"/>
      <c r="D994" s="4"/>
      <c r="E994" s="4"/>
    </row>
    <row r="995" spans="1:5" ht="14.25" customHeight="1" x14ac:dyDescent="0.35">
      <c r="A995" s="4"/>
      <c r="B995" s="4"/>
      <c r="C995" s="4"/>
      <c r="D995" s="4"/>
      <c r="E995" s="4"/>
    </row>
    <row r="996" spans="1:5" ht="14.25" customHeight="1" x14ac:dyDescent="0.35">
      <c r="A996" s="4"/>
      <c r="B996" s="4"/>
      <c r="C996" s="4"/>
      <c r="D996" s="4"/>
      <c r="E996" s="4"/>
    </row>
    <row r="997" spans="1:5" ht="14.25" customHeight="1" x14ac:dyDescent="0.35">
      <c r="A997" s="4"/>
      <c r="B997" s="4"/>
      <c r="C997" s="4"/>
      <c r="D997" s="4"/>
      <c r="E997" s="4"/>
    </row>
    <row r="998" spans="1:5" ht="14.25" customHeight="1" x14ac:dyDescent="0.35">
      <c r="A998" s="4"/>
      <c r="B998" s="4"/>
      <c r="C998" s="4"/>
      <c r="D998" s="4"/>
      <c r="E998" s="4"/>
    </row>
    <row r="999" spans="1:5" ht="14.25" customHeight="1" x14ac:dyDescent="0.35">
      <c r="A999" s="4"/>
      <c r="B999" s="4"/>
      <c r="C999" s="4"/>
      <c r="D999" s="4"/>
      <c r="E999" s="4"/>
    </row>
    <row r="1000" spans="1:5" ht="14.25" customHeight="1" x14ac:dyDescent="0.35">
      <c r="A1000" s="4"/>
      <c r="B1000" s="4"/>
      <c r="C1000" s="4"/>
      <c r="D1000" s="4"/>
      <c r="E1000" s="4"/>
    </row>
  </sheetData>
  <mergeCells count="1">
    <mergeCell ref="A3:B3"/>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B906-3697-46E1-A370-312AFA77B159}">
  <dimension ref="A1:Z1000"/>
  <sheetViews>
    <sheetView workbookViewId="0">
      <pane xSplit="1" ySplit="2" topLeftCell="B24" activePane="bottomRight" state="frozen"/>
      <selection activeCell="M4" sqref="M4"/>
      <selection pane="topRight" activeCell="M4" sqref="M4"/>
      <selection pane="bottomLeft" activeCell="M4" sqref="M4"/>
      <selection pane="bottomRight" activeCell="A38" sqref="A38"/>
    </sheetView>
  </sheetViews>
  <sheetFormatPr baseColWidth="10" defaultColWidth="14.453125" defaultRowHeight="15" customHeight="1" x14ac:dyDescent="0.35"/>
  <cols>
    <col min="1" max="1" width="28.08984375" style="56" customWidth="1"/>
    <col min="2" max="2" width="12.54296875" style="56" customWidth="1"/>
    <col min="3" max="7" width="10.7265625" style="56" customWidth="1"/>
    <col min="8" max="9" width="12.36328125" style="56" bestFit="1" customWidth="1"/>
    <col min="10" max="10" width="13.54296875" style="56" customWidth="1"/>
    <col min="11" max="11" width="13.81640625" style="56" customWidth="1"/>
    <col min="12" max="12" width="12.54296875" style="56" customWidth="1"/>
    <col min="13" max="13" width="13.81640625" style="56" customWidth="1"/>
    <col min="14" max="14" width="12.54296875" style="56" customWidth="1"/>
    <col min="15" max="15" width="12.36328125" style="56" bestFit="1" customWidth="1"/>
    <col min="16" max="26" width="10.7265625" style="56" customWidth="1"/>
    <col min="27" max="16384" width="14.453125" style="56"/>
  </cols>
  <sheetData>
    <row r="1" spans="1:26" ht="14.25" customHeight="1" x14ac:dyDescent="0.35">
      <c r="A1" s="56" t="s">
        <v>64</v>
      </c>
      <c r="N1" s="142" t="s">
        <v>65</v>
      </c>
    </row>
    <row r="2" spans="1:26" ht="14.25" customHeight="1" x14ac:dyDescent="0.35">
      <c r="B2" s="56">
        <v>1</v>
      </c>
      <c r="C2" s="56">
        <v>2</v>
      </c>
      <c r="D2" s="56">
        <v>3</v>
      </c>
      <c r="E2" s="56">
        <v>4</v>
      </c>
      <c r="F2" s="56">
        <v>5</v>
      </c>
      <c r="G2" s="56">
        <v>6</v>
      </c>
      <c r="H2" s="56">
        <v>7</v>
      </c>
      <c r="I2" s="56">
        <v>8</v>
      </c>
      <c r="J2" s="56">
        <v>9</v>
      </c>
      <c r="K2" s="56">
        <v>10</v>
      </c>
      <c r="L2" s="56">
        <v>11</v>
      </c>
      <c r="M2" s="56">
        <v>12</v>
      </c>
      <c r="N2" s="56">
        <v>13</v>
      </c>
    </row>
    <row r="3" spans="1:26" ht="14.25" customHeight="1" x14ac:dyDescent="0.35">
      <c r="A3" s="55" t="s">
        <v>66</v>
      </c>
      <c r="B3" s="143">
        <f t="shared" ref="B3:M3" si="0">+$N$3/12*B2</f>
        <v>429316.875</v>
      </c>
      <c r="C3" s="144">
        <f t="shared" si="0"/>
        <v>858633.75</v>
      </c>
      <c r="D3" s="144">
        <f t="shared" si="0"/>
        <v>1287950.625</v>
      </c>
      <c r="E3" s="144">
        <f t="shared" si="0"/>
        <v>1717267.5</v>
      </c>
      <c r="F3" s="144">
        <f t="shared" si="0"/>
        <v>2146584.375</v>
      </c>
      <c r="G3" s="144">
        <f t="shared" si="0"/>
        <v>2575901.25</v>
      </c>
      <c r="H3" s="144">
        <f t="shared" si="0"/>
        <v>3005218.125</v>
      </c>
      <c r="I3" s="144">
        <f t="shared" si="0"/>
        <v>3434535</v>
      </c>
      <c r="J3" s="144">
        <f t="shared" si="0"/>
        <v>3863851.875</v>
      </c>
      <c r="K3" s="144">
        <f t="shared" si="0"/>
        <v>4293168.75</v>
      </c>
      <c r="L3" s="144">
        <f t="shared" si="0"/>
        <v>4722485.625</v>
      </c>
      <c r="M3" s="144">
        <f t="shared" si="0"/>
        <v>5151802.5</v>
      </c>
      <c r="N3" s="145">
        <v>5151802.5</v>
      </c>
      <c r="O3" s="145">
        <v>5151802.5</v>
      </c>
      <c r="P3" s="56" t="s">
        <v>67</v>
      </c>
    </row>
    <row r="4" spans="1:26" ht="14.25" customHeight="1" x14ac:dyDescent="0.35">
      <c r="A4" s="55" t="s">
        <v>68</v>
      </c>
      <c r="B4" s="143">
        <f t="shared" ref="B4:D4" si="1">+$N$4/12*B2</f>
        <v>2060721.0016666667</v>
      </c>
      <c r="C4" s="144">
        <f t="shared" si="1"/>
        <v>4121442.0033333334</v>
      </c>
      <c r="D4" s="144">
        <f t="shared" si="1"/>
        <v>6182163.0049999999</v>
      </c>
      <c r="E4" s="144">
        <f t="shared" ref="E4:M4" si="2">+$N$4/12*E2</f>
        <v>8242884.0066666668</v>
      </c>
      <c r="F4" s="144">
        <f t="shared" si="2"/>
        <v>10303605.008333333</v>
      </c>
      <c r="G4" s="144">
        <f t="shared" si="2"/>
        <v>12364326.01</v>
      </c>
      <c r="H4" s="144">
        <f t="shared" si="2"/>
        <v>14425047.011666667</v>
      </c>
      <c r="I4" s="144">
        <f t="shared" si="2"/>
        <v>16485768.013333334</v>
      </c>
      <c r="J4" s="144">
        <f t="shared" si="2"/>
        <v>18546489.015000001</v>
      </c>
      <c r="K4" s="144">
        <f t="shared" si="2"/>
        <v>20607210.016666666</v>
      </c>
      <c r="L4" s="144">
        <f t="shared" si="2"/>
        <v>22667931.018333334</v>
      </c>
      <c r="M4" s="144">
        <f t="shared" si="2"/>
        <v>24728652.02</v>
      </c>
      <c r="N4" s="146">
        <v>24728652.02</v>
      </c>
      <c r="O4" s="147">
        <v>24728652.02</v>
      </c>
      <c r="P4" s="56" t="s">
        <v>32</v>
      </c>
    </row>
    <row r="5" spans="1:26" ht="14.25" customHeight="1" x14ac:dyDescent="0.35">
      <c r="A5" s="60" t="s">
        <v>69</v>
      </c>
      <c r="B5" s="148">
        <f t="shared" ref="B5:D5" si="3">+$N$5/12*B2</f>
        <v>404330.38833333337</v>
      </c>
      <c r="C5" s="135">
        <f t="shared" si="3"/>
        <v>808660.77666666673</v>
      </c>
      <c r="D5" s="135">
        <f t="shared" si="3"/>
        <v>1212991.165</v>
      </c>
      <c r="E5" s="135">
        <f t="shared" ref="E5:M5" si="4">+$N$5/12*E2</f>
        <v>1617321.5533333335</v>
      </c>
      <c r="F5" s="135">
        <f t="shared" si="4"/>
        <v>2021651.9416666669</v>
      </c>
      <c r="G5" s="135">
        <f t="shared" si="4"/>
        <v>2425982.33</v>
      </c>
      <c r="H5" s="135">
        <f t="shared" si="4"/>
        <v>2830312.7183333337</v>
      </c>
      <c r="I5" s="135">
        <f t="shared" si="4"/>
        <v>3234643.1066666669</v>
      </c>
      <c r="J5" s="135">
        <f t="shared" si="4"/>
        <v>3638973.4950000001</v>
      </c>
      <c r="K5" s="135">
        <f t="shared" si="4"/>
        <v>4043303.8833333338</v>
      </c>
      <c r="L5" s="135">
        <f t="shared" si="4"/>
        <v>4447634.2716666674</v>
      </c>
      <c r="M5" s="135">
        <f t="shared" si="4"/>
        <v>4851964.66</v>
      </c>
      <c r="N5" s="147">
        <v>4851964.66</v>
      </c>
      <c r="O5" s="147">
        <v>4851964.66</v>
      </c>
      <c r="P5" s="56">
        <f>N5/O5</f>
        <v>1</v>
      </c>
      <c r="Q5" s="60"/>
      <c r="R5" s="60"/>
      <c r="S5" s="60"/>
      <c r="T5" s="60"/>
      <c r="U5" s="60"/>
      <c r="V5" s="60"/>
      <c r="W5" s="60"/>
      <c r="X5" s="60"/>
      <c r="Y5" s="60"/>
      <c r="Z5" s="60"/>
    </row>
    <row r="6" spans="1:26" ht="14.25" customHeight="1" x14ac:dyDescent="0.35">
      <c r="A6" s="55" t="s">
        <v>70</v>
      </c>
      <c r="B6" s="143">
        <f t="shared" ref="B6:D6" si="5">+$N$6/12*B2</f>
        <v>203905.29</v>
      </c>
      <c r="C6" s="144">
        <f t="shared" si="5"/>
        <v>407810.58</v>
      </c>
      <c r="D6" s="144">
        <f t="shared" si="5"/>
        <v>611715.87</v>
      </c>
      <c r="E6" s="144">
        <f t="shared" ref="E6:M6" si="6">+$N$6/12*E2</f>
        <v>815621.16</v>
      </c>
      <c r="F6" s="144">
        <f t="shared" si="6"/>
        <v>1019526.4500000001</v>
      </c>
      <c r="G6" s="144">
        <f t="shared" si="6"/>
        <v>1223431.74</v>
      </c>
      <c r="H6" s="144">
        <f t="shared" si="6"/>
        <v>1427337.03</v>
      </c>
      <c r="I6" s="144">
        <f t="shared" si="6"/>
        <v>1631242.32</v>
      </c>
      <c r="J6" s="144">
        <f t="shared" si="6"/>
        <v>1835147.61</v>
      </c>
      <c r="K6" s="144">
        <f t="shared" si="6"/>
        <v>2039052.9000000001</v>
      </c>
      <c r="L6" s="144">
        <f t="shared" si="6"/>
        <v>2242958.19</v>
      </c>
      <c r="M6" s="144">
        <f t="shared" si="6"/>
        <v>2446863.48</v>
      </c>
      <c r="N6" s="147">
        <v>2446863.48</v>
      </c>
      <c r="O6" s="147">
        <v>2000447.87</v>
      </c>
      <c r="P6" s="149">
        <f>1-P5</f>
        <v>0</v>
      </c>
    </row>
    <row r="7" spans="1:26" ht="14.25" customHeight="1" x14ac:dyDescent="0.35">
      <c r="A7" s="55" t="s">
        <v>71</v>
      </c>
      <c r="B7" s="144">
        <f t="shared" ref="B7:I7" si="7">+$N$7/12*B2</f>
        <v>257586.25</v>
      </c>
      <c r="C7" s="144">
        <f t="shared" si="7"/>
        <v>515172.5</v>
      </c>
      <c r="D7" s="144">
        <f t="shared" si="7"/>
        <v>772758.75</v>
      </c>
      <c r="E7" s="144">
        <f t="shared" si="7"/>
        <v>1030345</v>
      </c>
      <c r="F7" s="144">
        <f t="shared" si="7"/>
        <v>1287931.25</v>
      </c>
      <c r="G7" s="144">
        <f t="shared" si="7"/>
        <v>1545517.5</v>
      </c>
      <c r="H7" s="144">
        <f t="shared" si="7"/>
        <v>1803103.75</v>
      </c>
      <c r="I7" s="144">
        <f t="shared" si="7"/>
        <v>2060690</v>
      </c>
      <c r="J7" s="144">
        <v>2318276.25</v>
      </c>
      <c r="K7" s="144">
        <v>2575862.5</v>
      </c>
      <c r="L7" s="144">
        <f t="shared" ref="L7:M7" si="8">+$N$7/12*L2</f>
        <v>2833448.75</v>
      </c>
      <c r="M7" s="144">
        <f t="shared" si="8"/>
        <v>3091035</v>
      </c>
      <c r="N7" s="144">
        <v>3091035</v>
      </c>
    </row>
    <row r="8" spans="1:26" ht="14.25" customHeight="1" x14ac:dyDescent="0.35">
      <c r="A8" s="55" t="s">
        <v>72</v>
      </c>
      <c r="B8" s="144">
        <f t="shared" ref="B8:I8" si="9">+$N$8/12*B2</f>
        <v>13896.5</v>
      </c>
      <c r="C8" s="144">
        <f t="shared" si="9"/>
        <v>27793</v>
      </c>
      <c r="D8" s="144">
        <f t="shared" si="9"/>
        <v>41689.5</v>
      </c>
      <c r="E8" s="144">
        <f t="shared" si="9"/>
        <v>55586</v>
      </c>
      <c r="F8" s="144">
        <f t="shared" si="9"/>
        <v>69482.5</v>
      </c>
      <c r="G8" s="144">
        <f t="shared" si="9"/>
        <v>83379</v>
      </c>
      <c r="H8" s="144">
        <f t="shared" si="9"/>
        <v>97275.5</v>
      </c>
      <c r="I8" s="144">
        <f t="shared" si="9"/>
        <v>111172</v>
      </c>
      <c r="J8" s="144">
        <v>125068.5</v>
      </c>
      <c r="K8" s="144">
        <v>138965</v>
      </c>
      <c r="L8" s="144">
        <f t="shared" ref="L8:M8" si="10">+$N$8/12*L2</f>
        <v>152861.5</v>
      </c>
      <c r="M8" s="144">
        <f t="shared" si="10"/>
        <v>166758</v>
      </c>
      <c r="N8" s="144">
        <v>166758</v>
      </c>
      <c r="O8" s="150"/>
    </row>
    <row r="9" spans="1:26" ht="14.25" customHeight="1" x14ac:dyDescent="0.35">
      <c r="A9" s="55" t="s">
        <v>73</v>
      </c>
      <c r="B9" s="144">
        <f t="shared" ref="B9:I9" si="11">+$N$9/12*B2</f>
        <v>103034.5</v>
      </c>
      <c r="C9" s="144">
        <f t="shared" si="11"/>
        <v>206069</v>
      </c>
      <c r="D9" s="144">
        <f t="shared" si="11"/>
        <v>309103.5</v>
      </c>
      <c r="E9" s="144">
        <f t="shared" si="11"/>
        <v>412138</v>
      </c>
      <c r="F9" s="144">
        <f t="shared" si="11"/>
        <v>515172.5</v>
      </c>
      <c r="G9" s="144">
        <f t="shared" si="11"/>
        <v>618207</v>
      </c>
      <c r="H9" s="144">
        <f t="shared" si="11"/>
        <v>721241.5</v>
      </c>
      <c r="I9" s="144">
        <f t="shared" si="11"/>
        <v>824276</v>
      </c>
      <c r="J9" s="144">
        <v>927310.5</v>
      </c>
      <c r="K9" s="144">
        <v>1030345</v>
      </c>
      <c r="L9" s="144">
        <f t="shared" ref="L9:M9" si="12">+$N$9/12*L2</f>
        <v>1133379.5</v>
      </c>
      <c r="M9" s="144">
        <f t="shared" si="12"/>
        <v>1236414</v>
      </c>
      <c r="N9" s="144">
        <v>1236414</v>
      </c>
      <c r="O9" s="150"/>
    </row>
    <row r="10" spans="1:26" ht="14.25" customHeight="1" x14ac:dyDescent="0.35">
      <c r="L10" s="150">
        <f>SUM(L3:L6)</f>
        <v>34081009.105000004</v>
      </c>
      <c r="N10" s="150"/>
    </row>
    <row r="11" spans="1:26" ht="14.25" customHeight="1" x14ac:dyDescent="0.35">
      <c r="L11" s="56">
        <f>L10/12</f>
        <v>2840084.0920833335</v>
      </c>
    </row>
    <row r="12" spans="1:26" ht="14.25" customHeight="1" x14ac:dyDescent="0.35">
      <c r="A12" s="151"/>
      <c r="B12" s="151" t="s">
        <v>74</v>
      </c>
      <c r="C12" s="151" t="s">
        <v>75</v>
      </c>
      <c r="D12" s="151" t="s">
        <v>76</v>
      </c>
      <c r="E12" s="151" t="s">
        <v>71</v>
      </c>
      <c r="F12" s="151" t="s">
        <v>77</v>
      </c>
    </row>
    <row r="13" spans="1:26" ht="14.25" customHeight="1" x14ac:dyDescent="0.35">
      <c r="A13" s="151" t="s">
        <v>78</v>
      </c>
      <c r="B13" s="151"/>
      <c r="C13" s="151" t="s">
        <v>79</v>
      </c>
      <c r="D13" s="151" t="s">
        <v>80</v>
      </c>
    </row>
    <row r="14" spans="1:26" ht="14.25" customHeight="1" x14ac:dyDescent="0.35">
      <c r="A14" s="151">
        <v>1</v>
      </c>
      <c r="B14" s="144">
        <v>83.01</v>
      </c>
      <c r="C14" s="144">
        <v>83.01</v>
      </c>
      <c r="D14" s="144">
        <v>1666.67</v>
      </c>
      <c r="E14" s="144">
        <f t="shared" ref="E14:E25" si="13">+$N$7/12*A14</f>
        <v>257586.25</v>
      </c>
      <c r="F14" s="144">
        <f t="shared" ref="F14:F25" si="14">+$N$9/12*A14</f>
        <v>103034.5</v>
      </c>
    </row>
    <row r="15" spans="1:26" ht="14.25" customHeight="1" x14ac:dyDescent="0.35">
      <c r="A15" s="151">
        <v>2</v>
      </c>
      <c r="B15" s="144">
        <v>166.02</v>
      </c>
      <c r="C15" s="144">
        <v>166.02</v>
      </c>
      <c r="D15" s="144">
        <v>3333.33</v>
      </c>
      <c r="E15" s="144">
        <f t="shared" si="13"/>
        <v>515172.5</v>
      </c>
      <c r="F15" s="144">
        <f t="shared" si="14"/>
        <v>206069</v>
      </c>
    </row>
    <row r="16" spans="1:26" ht="14.25" customHeight="1" x14ac:dyDescent="0.35">
      <c r="A16" s="151">
        <v>3</v>
      </c>
      <c r="B16" s="144">
        <v>249.03000000000003</v>
      </c>
      <c r="C16" s="144">
        <v>249.03000000000003</v>
      </c>
      <c r="D16" s="144">
        <v>5000</v>
      </c>
      <c r="E16" s="144">
        <f t="shared" si="13"/>
        <v>772758.75</v>
      </c>
      <c r="F16" s="144">
        <f t="shared" si="14"/>
        <v>309103.5</v>
      </c>
    </row>
    <row r="17" spans="1:6" ht="14.25" customHeight="1" x14ac:dyDescent="0.35">
      <c r="A17" s="151">
        <v>4</v>
      </c>
      <c r="B17" s="144">
        <v>332.04</v>
      </c>
      <c r="C17" s="144">
        <v>332.04</v>
      </c>
      <c r="D17" s="144">
        <v>6666.67</v>
      </c>
      <c r="E17" s="144">
        <f t="shared" si="13"/>
        <v>1030345</v>
      </c>
      <c r="F17" s="144">
        <f t="shared" si="14"/>
        <v>412138</v>
      </c>
    </row>
    <row r="18" spans="1:6" ht="14.25" customHeight="1" x14ac:dyDescent="0.35">
      <c r="A18" s="151">
        <v>5</v>
      </c>
      <c r="B18" s="144">
        <v>415.05</v>
      </c>
      <c r="C18" s="144">
        <v>415.05</v>
      </c>
      <c r="D18" s="144">
        <v>8333.33</v>
      </c>
      <c r="E18" s="144">
        <f t="shared" si="13"/>
        <v>1287931.25</v>
      </c>
      <c r="F18" s="144">
        <f t="shared" si="14"/>
        <v>515172.5</v>
      </c>
    </row>
    <row r="19" spans="1:6" ht="14.25" customHeight="1" x14ac:dyDescent="0.35">
      <c r="A19" s="151">
        <v>6</v>
      </c>
      <c r="B19" s="144">
        <v>498.06</v>
      </c>
      <c r="C19" s="144">
        <v>498.06</v>
      </c>
      <c r="D19" s="144">
        <v>10000</v>
      </c>
      <c r="E19" s="144">
        <f t="shared" si="13"/>
        <v>1545517.5</v>
      </c>
      <c r="F19" s="144">
        <f t="shared" si="14"/>
        <v>618207</v>
      </c>
    </row>
    <row r="20" spans="1:6" ht="14.25" customHeight="1" x14ac:dyDescent="0.35">
      <c r="A20" s="151">
        <v>7</v>
      </c>
      <c r="B20" s="144">
        <v>581.07000000000005</v>
      </c>
      <c r="C20" s="144">
        <v>581.07000000000005</v>
      </c>
      <c r="D20" s="144">
        <v>11666.67</v>
      </c>
      <c r="E20" s="144">
        <f t="shared" si="13"/>
        <v>1803103.75</v>
      </c>
      <c r="F20" s="144">
        <f t="shared" si="14"/>
        <v>721241.5</v>
      </c>
    </row>
    <row r="21" spans="1:6" ht="14.25" customHeight="1" x14ac:dyDescent="0.35">
      <c r="A21" s="151">
        <v>8</v>
      </c>
      <c r="B21" s="144">
        <v>664.08</v>
      </c>
      <c r="C21" s="144">
        <v>664.08</v>
      </c>
      <c r="D21" s="144">
        <v>13333.33</v>
      </c>
      <c r="E21" s="144">
        <f t="shared" si="13"/>
        <v>2060690</v>
      </c>
      <c r="F21" s="144">
        <f t="shared" si="14"/>
        <v>824276</v>
      </c>
    </row>
    <row r="22" spans="1:6" ht="14.25" customHeight="1" x14ac:dyDescent="0.35">
      <c r="A22" s="151">
        <v>9</v>
      </c>
      <c r="B22" s="144">
        <v>747.09</v>
      </c>
      <c r="C22" s="144">
        <v>747.09</v>
      </c>
      <c r="D22" s="144">
        <v>15000</v>
      </c>
      <c r="E22" s="144">
        <f t="shared" si="13"/>
        <v>2318276.25</v>
      </c>
      <c r="F22" s="144">
        <f t="shared" si="14"/>
        <v>927310.5</v>
      </c>
    </row>
    <row r="23" spans="1:6" ht="14.25" customHeight="1" x14ac:dyDescent="0.35">
      <c r="A23" s="151">
        <v>10</v>
      </c>
      <c r="B23" s="144">
        <v>830.1</v>
      </c>
      <c r="C23" s="144">
        <v>830.1</v>
      </c>
      <c r="D23" s="144">
        <v>16666.669999999998</v>
      </c>
      <c r="E23" s="144">
        <f t="shared" si="13"/>
        <v>2575862.5</v>
      </c>
      <c r="F23" s="144">
        <f t="shared" si="14"/>
        <v>1030345</v>
      </c>
    </row>
    <row r="24" spans="1:6" ht="14.25" customHeight="1" x14ac:dyDescent="0.35">
      <c r="A24" s="151">
        <v>11</v>
      </c>
      <c r="B24" s="144">
        <v>913.11</v>
      </c>
      <c r="C24" s="144">
        <v>913.11</v>
      </c>
      <c r="D24" s="144">
        <v>18333.330000000002</v>
      </c>
      <c r="E24" s="144">
        <f t="shared" si="13"/>
        <v>2833448.75</v>
      </c>
      <c r="F24" s="144">
        <f t="shared" si="14"/>
        <v>1133379.5</v>
      </c>
    </row>
    <row r="25" spans="1:6" ht="14.25" customHeight="1" x14ac:dyDescent="0.35">
      <c r="A25" s="151">
        <v>12</v>
      </c>
      <c r="B25" s="144">
        <v>996.12</v>
      </c>
      <c r="C25" s="144">
        <v>996.12</v>
      </c>
      <c r="D25" s="144">
        <v>20000</v>
      </c>
      <c r="E25" s="144">
        <f t="shared" si="13"/>
        <v>3091035</v>
      </c>
      <c r="F25" s="144">
        <f t="shared" si="14"/>
        <v>1236414</v>
      </c>
    </row>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s="56" customFormat="1" ht="15.75" customHeight="1" x14ac:dyDescent="0.35"/>
    <row r="34" s="56" customFormat="1" ht="15.75" customHeight="1" x14ac:dyDescent="0.35"/>
    <row r="35" s="56" customFormat="1" ht="15.75" customHeight="1" x14ac:dyDescent="0.35"/>
    <row r="36" s="56" customFormat="1" ht="15.75" customHeight="1" x14ac:dyDescent="0.35"/>
    <row r="37" s="56" customFormat="1" ht="15.75" customHeight="1" x14ac:dyDescent="0.35"/>
    <row r="38" s="56" customFormat="1" ht="15.75" customHeight="1" x14ac:dyDescent="0.35"/>
    <row r="39" s="56" customFormat="1" ht="15.75" customHeight="1" x14ac:dyDescent="0.35"/>
    <row r="40" s="56" customFormat="1" ht="15.75" customHeight="1" x14ac:dyDescent="0.35"/>
    <row r="41" s="56" customFormat="1" ht="15.75" customHeight="1" x14ac:dyDescent="0.35"/>
    <row r="42" s="56" customFormat="1" ht="15.75" customHeight="1" x14ac:dyDescent="0.35"/>
    <row r="43" s="56" customFormat="1" ht="15.75" customHeight="1" x14ac:dyDescent="0.35"/>
    <row r="44" s="56" customFormat="1" ht="15.75" customHeight="1" x14ac:dyDescent="0.35"/>
    <row r="45" s="56" customFormat="1" ht="15.75" customHeight="1" x14ac:dyDescent="0.35"/>
    <row r="46" s="56" customFormat="1" ht="15.75" customHeight="1" x14ac:dyDescent="0.35"/>
    <row r="47" s="56" customFormat="1" ht="15.75" customHeight="1" x14ac:dyDescent="0.35"/>
    <row r="48" s="56" customFormat="1" ht="15.75" customHeight="1" x14ac:dyDescent="0.35"/>
    <row r="49" s="56" customFormat="1" ht="15.75" customHeight="1" x14ac:dyDescent="0.35"/>
    <row r="50" s="56" customFormat="1" ht="15.75" customHeight="1" x14ac:dyDescent="0.35"/>
    <row r="51" s="56" customFormat="1" ht="15.75" customHeight="1" x14ac:dyDescent="0.35"/>
    <row r="52" s="56" customFormat="1" ht="15.75" customHeight="1" x14ac:dyDescent="0.35"/>
    <row r="53" s="56" customFormat="1" ht="15.75" customHeight="1" x14ac:dyDescent="0.35"/>
    <row r="54" s="56" customFormat="1" ht="15.75" customHeight="1" x14ac:dyDescent="0.35"/>
    <row r="55" s="56" customFormat="1" ht="15.75" customHeight="1" x14ac:dyDescent="0.35"/>
    <row r="56" s="56" customFormat="1" ht="15.75" customHeight="1" x14ac:dyDescent="0.35"/>
    <row r="57" s="56" customFormat="1" ht="15.75" customHeight="1" x14ac:dyDescent="0.35"/>
    <row r="58" s="56" customFormat="1" ht="15.75" customHeight="1" x14ac:dyDescent="0.35"/>
    <row r="59" s="56" customFormat="1" ht="15.75" customHeight="1" x14ac:dyDescent="0.35"/>
    <row r="60" s="56" customFormat="1" ht="15.75" customHeight="1" x14ac:dyDescent="0.35"/>
    <row r="61" s="56" customFormat="1" ht="15.75" customHeight="1" x14ac:dyDescent="0.35"/>
    <row r="62" s="56" customFormat="1" ht="15.75" customHeight="1" x14ac:dyDescent="0.35"/>
    <row r="63" s="56" customFormat="1" ht="15.75" customHeight="1" x14ac:dyDescent="0.35"/>
    <row r="64" s="56" customFormat="1" ht="15.75" customHeight="1" x14ac:dyDescent="0.35"/>
    <row r="65" s="56" customFormat="1" ht="15.75" customHeight="1" x14ac:dyDescent="0.35"/>
    <row r="66" s="56" customFormat="1" ht="15.75" customHeight="1" x14ac:dyDescent="0.35"/>
    <row r="67" s="56" customFormat="1" ht="15.75" customHeight="1" x14ac:dyDescent="0.35"/>
    <row r="68" s="56" customFormat="1" ht="15.75" customHeight="1" x14ac:dyDescent="0.35"/>
    <row r="69" s="56" customFormat="1" ht="15.75" customHeight="1" x14ac:dyDescent="0.35"/>
    <row r="70" s="56" customFormat="1" ht="15.75" customHeight="1" x14ac:dyDescent="0.35"/>
    <row r="71" s="56" customFormat="1" ht="15.75" customHeight="1" x14ac:dyDescent="0.35"/>
    <row r="72" s="56" customFormat="1" ht="15.75" customHeight="1" x14ac:dyDescent="0.35"/>
    <row r="73" s="56" customFormat="1" ht="15.75" customHeight="1" x14ac:dyDescent="0.35"/>
    <row r="74" s="56" customFormat="1" ht="15.75" customHeight="1" x14ac:dyDescent="0.35"/>
    <row r="75" s="56" customFormat="1" ht="15.75" customHeight="1" x14ac:dyDescent="0.35"/>
    <row r="76" s="56" customFormat="1" ht="15.75" customHeight="1" x14ac:dyDescent="0.35"/>
    <row r="77" s="56" customFormat="1" ht="15.75" customHeight="1" x14ac:dyDescent="0.35"/>
    <row r="78" s="56" customFormat="1" ht="15.75" customHeight="1" x14ac:dyDescent="0.35"/>
    <row r="79" s="56" customFormat="1" ht="15.75" customHeight="1" x14ac:dyDescent="0.35"/>
    <row r="80" s="56" customFormat="1" ht="15.75" customHeight="1" x14ac:dyDescent="0.35"/>
    <row r="81" s="56" customFormat="1" ht="15.75" customHeight="1" x14ac:dyDescent="0.35"/>
    <row r="82" s="56" customFormat="1" ht="15.75" customHeight="1" x14ac:dyDescent="0.35"/>
    <row r="83" s="56" customFormat="1" ht="15.75" customHeight="1" x14ac:dyDescent="0.35"/>
    <row r="84" s="56" customFormat="1" ht="15.75" customHeight="1" x14ac:dyDescent="0.35"/>
    <row r="85" s="56" customFormat="1" ht="15.75" customHeight="1" x14ac:dyDescent="0.35"/>
    <row r="86" s="56" customFormat="1" ht="15.75" customHeight="1" x14ac:dyDescent="0.35"/>
    <row r="87" s="56" customFormat="1" ht="15.75" customHeight="1" x14ac:dyDescent="0.35"/>
    <row r="88" s="56" customFormat="1" ht="15.75" customHeight="1" x14ac:dyDescent="0.35"/>
    <row r="89" s="56" customFormat="1" ht="15.75" customHeight="1" x14ac:dyDescent="0.35"/>
    <row r="90" s="56" customFormat="1" ht="15.75" customHeight="1" x14ac:dyDescent="0.35"/>
    <row r="91" s="56" customFormat="1" ht="15.75" customHeight="1" x14ac:dyDescent="0.35"/>
    <row r="92" s="56" customFormat="1" ht="15.75" customHeight="1" x14ac:dyDescent="0.35"/>
    <row r="93" s="56" customFormat="1" ht="15.75" customHeight="1" x14ac:dyDescent="0.35"/>
    <row r="94" s="56" customFormat="1" ht="15.75" customHeight="1" x14ac:dyDescent="0.35"/>
    <row r="95" s="56" customFormat="1" ht="15.75" customHeight="1" x14ac:dyDescent="0.35"/>
    <row r="96" s="56" customFormat="1" ht="15.75" customHeight="1" x14ac:dyDescent="0.35"/>
    <row r="97" s="56" customFormat="1" ht="15.75" customHeight="1" x14ac:dyDescent="0.35"/>
    <row r="98" s="56" customFormat="1" ht="15.75" customHeight="1" x14ac:dyDescent="0.35"/>
    <row r="99" s="56" customFormat="1" ht="15.75" customHeight="1" x14ac:dyDescent="0.35"/>
    <row r="100" s="56" customFormat="1" ht="15.75" customHeight="1" x14ac:dyDescent="0.35"/>
    <row r="101" s="56" customFormat="1" ht="15.75" customHeight="1" x14ac:dyDescent="0.35"/>
    <row r="102" s="56" customFormat="1" ht="15.75" customHeight="1" x14ac:dyDescent="0.35"/>
    <row r="103" s="56" customFormat="1" ht="15.75" customHeight="1" x14ac:dyDescent="0.35"/>
    <row r="104" s="56" customFormat="1" ht="15.75" customHeight="1" x14ac:dyDescent="0.35"/>
    <row r="105" s="56" customFormat="1" ht="15.75" customHeight="1" x14ac:dyDescent="0.35"/>
    <row r="106" s="56" customFormat="1" ht="15.75" customHeight="1" x14ac:dyDescent="0.35"/>
    <row r="107" s="56" customFormat="1" ht="15.75" customHeight="1" x14ac:dyDescent="0.35"/>
    <row r="108" s="56" customFormat="1" ht="15.75" customHeight="1" x14ac:dyDescent="0.35"/>
    <row r="109" s="56" customFormat="1" ht="15.75" customHeight="1" x14ac:dyDescent="0.35"/>
    <row r="110" s="56" customFormat="1" ht="15.75" customHeight="1" x14ac:dyDescent="0.35"/>
    <row r="111" s="56" customFormat="1" ht="15.75" customHeight="1" x14ac:dyDescent="0.35"/>
    <row r="112" s="56" customFormat="1" ht="15.75" customHeight="1" x14ac:dyDescent="0.35"/>
    <row r="113" s="56" customFormat="1" ht="15.75" customHeight="1" x14ac:dyDescent="0.35"/>
    <row r="114" s="56" customFormat="1" ht="15.75" customHeight="1" x14ac:dyDescent="0.35"/>
    <row r="115" s="56" customFormat="1" ht="15.75" customHeight="1" x14ac:dyDescent="0.35"/>
    <row r="116" s="56" customFormat="1" ht="15.75" customHeight="1" x14ac:dyDescent="0.35"/>
    <row r="117" s="56" customFormat="1" ht="15.75" customHeight="1" x14ac:dyDescent="0.35"/>
    <row r="118" s="56" customFormat="1" ht="15.75" customHeight="1" x14ac:dyDescent="0.35"/>
    <row r="119" s="56" customFormat="1" ht="15.75" customHeight="1" x14ac:dyDescent="0.35"/>
    <row r="120" s="56" customFormat="1" ht="15.75" customHeight="1" x14ac:dyDescent="0.35"/>
    <row r="121" s="56" customFormat="1" ht="15.75" customHeight="1" x14ac:dyDescent="0.35"/>
    <row r="122" s="56" customFormat="1" ht="15.75" customHeight="1" x14ac:dyDescent="0.35"/>
    <row r="123" s="56" customFormat="1" ht="15.75" customHeight="1" x14ac:dyDescent="0.35"/>
    <row r="124" s="56" customFormat="1" ht="15.75" customHeight="1" x14ac:dyDescent="0.35"/>
    <row r="125" s="56" customFormat="1" ht="15.75" customHeight="1" x14ac:dyDescent="0.35"/>
    <row r="126" s="56" customFormat="1" ht="15.75" customHeight="1" x14ac:dyDescent="0.35"/>
    <row r="127" s="56" customFormat="1" ht="15.75" customHeight="1" x14ac:dyDescent="0.35"/>
    <row r="128" s="56" customFormat="1" ht="15.75" customHeight="1" x14ac:dyDescent="0.35"/>
    <row r="129" s="56" customFormat="1" ht="15.75" customHeight="1" x14ac:dyDescent="0.35"/>
    <row r="130" s="56" customFormat="1" ht="15.75" customHeight="1" x14ac:dyDescent="0.35"/>
    <row r="131" s="56" customFormat="1" ht="15.75" customHeight="1" x14ac:dyDescent="0.35"/>
    <row r="132" s="56" customFormat="1" ht="15.75" customHeight="1" x14ac:dyDescent="0.35"/>
    <row r="133" s="56" customFormat="1" ht="15.75" customHeight="1" x14ac:dyDescent="0.35"/>
    <row r="134" s="56" customFormat="1" ht="15.75" customHeight="1" x14ac:dyDescent="0.35"/>
    <row r="135" s="56" customFormat="1" ht="15.75" customHeight="1" x14ac:dyDescent="0.35"/>
    <row r="136" s="56" customFormat="1" ht="15.75" customHeight="1" x14ac:dyDescent="0.35"/>
    <row r="137" s="56" customFormat="1" ht="15.75" customHeight="1" x14ac:dyDescent="0.35"/>
    <row r="138" s="56" customFormat="1" ht="15.75" customHeight="1" x14ac:dyDescent="0.35"/>
    <row r="139" s="56" customFormat="1" ht="15.75" customHeight="1" x14ac:dyDescent="0.35"/>
    <row r="140" s="56" customFormat="1" ht="15.75" customHeight="1" x14ac:dyDescent="0.35"/>
    <row r="141" s="56" customFormat="1" ht="15.75" customHeight="1" x14ac:dyDescent="0.35"/>
    <row r="142" s="56" customFormat="1" ht="15.75" customHeight="1" x14ac:dyDescent="0.35"/>
    <row r="143" s="56" customFormat="1" ht="15.75" customHeight="1" x14ac:dyDescent="0.35"/>
    <row r="144" s="56" customFormat="1" ht="15.75" customHeight="1" x14ac:dyDescent="0.35"/>
    <row r="145" s="56" customFormat="1" ht="15.75" customHeight="1" x14ac:dyDescent="0.35"/>
    <row r="146" s="56" customFormat="1" ht="15.75" customHeight="1" x14ac:dyDescent="0.35"/>
    <row r="147" s="56" customFormat="1" ht="15.75" customHeight="1" x14ac:dyDescent="0.35"/>
    <row r="148" s="56" customFormat="1" ht="15.75" customHeight="1" x14ac:dyDescent="0.35"/>
    <row r="149" s="56" customFormat="1" ht="15.75" customHeight="1" x14ac:dyDescent="0.35"/>
    <row r="150" s="56" customFormat="1" ht="15.75" customHeight="1" x14ac:dyDescent="0.35"/>
    <row r="151" s="56" customFormat="1" ht="15.75" customHeight="1" x14ac:dyDescent="0.35"/>
    <row r="152" s="56" customFormat="1" ht="15.75" customHeight="1" x14ac:dyDescent="0.35"/>
    <row r="153" s="56" customFormat="1" ht="15.75" customHeight="1" x14ac:dyDescent="0.35"/>
    <row r="154" s="56" customFormat="1" ht="15.75" customHeight="1" x14ac:dyDescent="0.35"/>
    <row r="155" s="56" customFormat="1" ht="15.75" customHeight="1" x14ac:dyDescent="0.35"/>
    <row r="156" s="56" customFormat="1" ht="15.75" customHeight="1" x14ac:dyDescent="0.35"/>
    <row r="157" s="56" customFormat="1" ht="15.75" customHeight="1" x14ac:dyDescent="0.35"/>
    <row r="158" s="56" customFormat="1" ht="15.75" customHeight="1" x14ac:dyDescent="0.35"/>
    <row r="159" s="56" customFormat="1" ht="15.75" customHeight="1" x14ac:dyDescent="0.35"/>
    <row r="160" s="56" customFormat="1" ht="15.75" customHeight="1" x14ac:dyDescent="0.35"/>
    <row r="161" s="56" customFormat="1" ht="15.75" customHeight="1" x14ac:dyDescent="0.35"/>
    <row r="162" s="56" customFormat="1" ht="15.75" customHeight="1" x14ac:dyDescent="0.35"/>
    <row r="163" s="56" customFormat="1" ht="15.75" customHeight="1" x14ac:dyDescent="0.35"/>
    <row r="164" s="56" customFormat="1" ht="15.75" customHeight="1" x14ac:dyDescent="0.35"/>
    <row r="165" s="56" customFormat="1" ht="15.75" customHeight="1" x14ac:dyDescent="0.35"/>
    <row r="166" s="56" customFormat="1" ht="15.75" customHeight="1" x14ac:dyDescent="0.35"/>
    <row r="167" s="56" customFormat="1" ht="15.75" customHeight="1" x14ac:dyDescent="0.35"/>
    <row r="168" s="56" customFormat="1" ht="15.75" customHeight="1" x14ac:dyDescent="0.35"/>
    <row r="169" s="56" customFormat="1" ht="15.75" customHeight="1" x14ac:dyDescent="0.35"/>
    <row r="170" s="56" customFormat="1" ht="15.75" customHeight="1" x14ac:dyDescent="0.35"/>
    <row r="171" s="56" customFormat="1" ht="15.75" customHeight="1" x14ac:dyDescent="0.35"/>
    <row r="172" s="56" customFormat="1" ht="15.75" customHeight="1" x14ac:dyDescent="0.35"/>
    <row r="173" s="56" customFormat="1" ht="15.75" customHeight="1" x14ac:dyDescent="0.35"/>
    <row r="174" s="56" customFormat="1" ht="15.75" customHeight="1" x14ac:dyDescent="0.35"/>
    <row r="175" s="56" customFormat="1" ht="15.75" customHeight="1" x14ac:dyDescent="0.35"/>
    <row r="176" s="56" customFormat="1" ht="15.75" customHeight="1" x14ac:dyDescent="0.35"/>
    <row r="177" s="56" customFormat="1" ht="15.75" customHeight="1" x14ac:dyDescent="0.35"/>
    <row r="178" s="56" customFormat="1" ht="15.75" customHeight="1" x14ac:dyDescent="0.35"/>
    <row r="179" s="56" customFormat="1" ht="15.75" customHeight="1" x14ac:dyDescent="0.35"/>
    <row r="180" s="56" customFormat="1" ht="15.75" customHeight="1" x14ac:dyDescent="0.35"/>
    <row r="181" s="56" customFormat="1" ht="15.75" customHeight="1" x14ac:dyDescent="0.35"/>
    <row r="182" s="56" customFormat="1" ht="15.75" customHeight="1" x14ac:dyDescent="0.35"/>
    <row r="183" s="56" customFormat="1" ht="15.75" customHeight="1" x14ac:dyDescent="0.35"/>
    <row r="184" s="56" customFormat="1" ht="15.75" customHeight="1" x14ac:dyDescent="0.35"/>
    <row r="185" s="56" customFormat="1" ht="15.75" customHeight="1" x14ac:dyDescent="0.35"/>
    <row r="186" s="56" customFormat="1" ht="15.75" customHeight="1" x14ac:dyDescent="0.35"/>
    <row r="187" s="56" customFormat="1" ht="15.75" customHeight="1" x14ac:dyDescent="0.35"/>
    <row r="188" s="56" customFormat="1" ht="15.75" customHeight="1" x14ac:dyDescent="0.35"/>
    <row r="189" s="56" customFormat="1" ht="15.75" customHeight="1" x14ac:dyDescent="0.35"/>
    <row r="190" s="56" customFormat="1" ht="15.75" customHeight="1" x14ac:dyDescent="0.35"/>
    <row r="191" s="56" customFormat="1" ht="15.75" customHeight="1" x14ac:dyDescent="0.35"/>
    <row r="192" s="56" customFormat="1" ht="15.75" customHeight="1" x14ac:dyDescent="0.35"/>
    <row r="193" s="56" customFormat="1" ht="15.75" customHeight="1" x14ac:dyDescent="0.35"/>
    <row r="194" s="56" customFormat="1" ht="15.75" customHeight="1" x14ac:dyDescent="0.35"/>
    <row r="195" s="56" customFormat="1" ht="15.75" customHeight="1" x14ac:dyDescent="0.35"/>
    <row r="196" s="56" customFormat="1" ht="15.75" customHeight="1" x14ac:dyDescent="0.35"/>
    <row r="197" s="56" customFormat="1" ht="15.75" customHeight="1" x14ac:dyDescent="0.35"/>
    <row r="198" s="56" customFormat="1" ht="15.75" customHeight="1" x14ac:dyDescent="0.35"/>
    <row r="199" s="56" customFormat="1" ht="15.75" customHeight="1" x14ac:dyDescent="0.35"/>
    <row r="200" s="56" customFormat="1" ht="15.75" customHeight="1" x14ac:dyDescent="0.35"/>
    <row r="201" s="56" customFormat="1" ht="15.75" customHeight="1" x14ac:dyDescent="0.35"/>
    <row r="202" s="56" customFormat="1" ht="15.75" customHeight="1" x14ac:dyDescent="0.35"/>
    <row r="203" s="56" customFormat="1" ht="15.75" customHeight="1" x14ac:dyDescent="0.35"/>
    <row r="204" s="56" customFormat="1" ht="15.75" customHeight="1" x14ac:dyDescent="0.35"/>
    <row r="205" s="56" customFormat="1" ht="15.75" customHeight="1" x14ac:dyDescent="0.35"/>
    <row r="206" s="56" customFormat="1" ht="15.75" customHeight="1" x14ac:dyDescent="0.35"/>
    <row r="207" s="56" customFormat="1" ht="15.75" customHeight="1" x14ac:dyDescent="0.35"/>
    <row r="208" s="56" customFormat="1" ht="15.75" customHeight="1" x14ac:dyDescent="0.35"/>
    <row r="209" s="56" customFormat="1" ht="15.75" customHeight="1" x14ac:dyDescent="0.35"/>
    <row r="210" s="56" customFormat="1" ht="15.75" customHeight="1" x14ac:dyDescent="0.35"/>
    <row r="211" s="56" customFormat="1" ht="15.75" customHeight="1" x14ac:dyDescent="0.35"/>
    <row r="212" s="56" customFormat="1" ht="15.75" customHeight="1" x14ac:dyDescent="0.35"/>
    <row r="213" s="56" customFormat="1" ht="15.75" customHeight="1" x14ac:dyDescent="0.35"/>
    <row r="214" s="56" customFormat="1" ht="15.75" customHeight="1" x14ac:dyDescent="0.35"/>
    <row r="215" s="56" customFormat="1" ht="15.75" customHeight="1" x14ac:dyDescent="0.35"/>
    <row r="216" s="56" customFormat="1" ht="15.75" customHeight="1" x14ac:dyDescent="0.35"/>
    <row r="217" s="56" customFormat="1" ht="15.75" customHeight="1" x14ac:dyDescent="0.35"/>
    <row r="218" s="56" customFormat="1" ht="15.75" customHeight="1" x14ac:dyDescent="0.35"/>
    <row r="219" s="56" customFormat="1" ht="15.75" customHeight="1" x14ac:dyDescent="0.35"/>
    <row r="220" s="56" customFormat="1" ht="15.75" customHeight="1" x14ac:dyDescent="0.35"/>
    <row r="221" s="56" customFormat="1" ht="15.75" customHeight="1" x14ac:dyDescent="0.35"/>
    <row r="222" s="56" customFormat="1" ht="15.75" customHeight="1" x14ac:dyDescent="0.35"/>
    <row r="223" s="56" customFormat="1" ht="15.75" customHeight="1" x14ac:dyDescent="0.35"/>
    <row r="224" s="56" customFormat="1" ht="15.75" customHeight="1" x14ac:dyDescent="0.35"/>
    <row r="225" s="56" customFormat="1" ht="15.75" customHeight="1" x14ac:dyDescent="0.35"/>
    <row r="226" s="56" customFormat="1" ht="15.75" customHeight="1" x14ac:dyDescent="0.35"/>
    <row r="227" s="56" customFormat="1" ht="15.75" customHeight="1" x14ac:dyDescent="0.35"/>
    <row r="228" s="56" customFormat="1" ht="15.75" customHeight="1" x14ac:dyDescent="0.35"/>
    <row r="229" s="56" customFormat="1" ht="15.75" customHeight="1" x14ac:dyDescent="0.35"/>
    <row r="230" s="56" customFormat="1" ht="15.75" customHeight="1" x14ac:dyDescent="0.35"/>
    <row r="231" s="56" customFormat="1" ht="15.75" customHeight="1" x14ac:dyDescent="0.35"/>
    <row r="232" s="56" customFormat="1" ht="15.75" customHeight="1" x14ac:dyDescent="0.35"/>
    <row r="233" s="56" customFormat="1" ht="15.75" customHeight="1" x14ac:dyDescent="0.35"/>
    <row r="234" s="56" customFormat="1" ht="15.75" customHeight="1" x14ac:dyDescent="0.35"/>
    <row r="235" s="56" customFormat="1" ht="15.75" customHeight="1" x14ac:dyDescent="0.35"/>
    <row r="236" s="56" customFormat="1" ht="15.75" customHeight="1" x14ac:dyDescent="0.35"/>
    <row r="237" s="56" customFormat="1" ht="15.75" customHeight="1" x14ac:dyDescent="0.35"/>
    <row r="238" s="56" customFormat="1" ht="15.75" customHeight="1" x14ac:dyDescent="0.35"/>
    <row r="239" s="56" customFormat="1" ht="15.75" customHeight="1" x14ac:dyDescent="0.35"/>
    <row r="240" s="56" customFormat="1" ht="15.75" customHeight="1" x14ac:dyDescent="0.35"/>
    <row r="241" s="56" customFormat="1" ht="15.75" customHeight="1" x14ac:dyDescent="0.35"/>
    <row r="242" s="56" customFormat="1" ht="15.75" customHeight="1" x14ac:dyDescent="0.35"/>
    <row r="243" s="56" customFormat="1" ht="15.75" customHeight="1" x14ac:dyDescent="0.35"/>
    <row r="244" s="56" customFormat="1" ht="15.75" customHeight="1" x14ac:dyDescent="0.35"/>
    <row r="245" s="56" customFormat="1" ht="15.75" customHeight="1" x14ac:dyDescent="0.35"/>
    <row r="246" s="56" customFormat="1" ht="15.75" customHeight="1" x14ac:dyDescent="0.35"/>
    <row r="247" s="56" customFormat="1" ht="15.75" customHeight="1" x14ac:dyDescent="0.35"/>
    <row r="248" s="56" customFormat="1" ht="15.75" customHeight="1" x14ac:dyDescent="0.35"/>
    <row r="249" s="56" customFormat="1" ht="15.75" customHeight="1" x14ac:dyDescent="0.35"/>
    <row r="250" s="56" customFormat="1" ht="15.75" customHeight="1" x14ac:dyDescent="0.35"/>
    <row r="251" s="56" customFormat="1" ht="15.75" customHeight="1" x14ac:dyDescent="0.35"/>
    <row r="252" s="56" customFormat="1" ht="15.75" customHeight="1" x14ac:dyDescent="0.35"/>
    <row r="253" s="56" customFormat="1" ht="15.75" customHeight="1" x14ac:dyDescent="0.35"/>
    <row r="254" s="56" customFormat="1" ht="15.75" customHeight="1" x14ac:dyDescent="0.35"/>
    <row r="255" s="56" customFormat="1" ht="15.75" customHeight="1" x14ac:dyDescent="0.35"/>
    <row r="256" s="56" customFormat="1" ht="15.75" customHeight="1" x14ac:dyDescent="0.35"/>
    <row r="257" s="56" customFormat="1" ht="15.75" customHeight="1" x14ac:dyDescent="0.35"/>
    <row r="258" s="56" customFormat="1" ht="15.75" customHeight="1" x14ac:dyDescent="0.35"/>
    <row r="259" s="56" customFormat="1" ht="15.75" customHeight="1" x14ac:dyDescent="0.35"/>
    <row r="260" s="56" customFormat="1" ht="15.75" customHeight="1" x14ac:dyDescent="0.35"/>
    <row r="261" s="56" customFormat="1" ht="15.75" customHeight="1" x14ac:dyDescent="0.35"/>
    <row r="262" s="56" customFormat="1" ht="15.75" customHeight="1" x14ac:dyDescent="0.35"/>
    <row r="263" s="56" customFormat="1" ht="15.75" customHeight="1" x14ac:dyDescent="0.35"/>
    <row r="264" s="56" customFormat="1" ht="15.75" customHeight="1" x14ac:dyDescent="0.35"/>
    <row r="265" s="56" customFormat="1" ht="15.75" customHeight="1" x14ac:dyDescent="0.35"/>
    <row r="266" s="56" customFormat="1" ht="15.75" customHeight="1" x14ac:dyDescent="0.35"/>
    <row r="267" s="56" customFormat="1" ht="15.75" customHeight="1" x14ac:dyDescent="0.35"/>
    <row r="268" s="56" customFormat="1" ht="15.75" customHeight="1" x14ac:dyDescent="0.35"/>
    <row r="269" s="56" customFormat="1" ht="15.75" customHeight="1" x14ac:dyDescent="0.35"/>
    <row r="270" s="56" customFormat="1" ht="15.75" customHeight="1" x14ac:dyDescent="0.35"/>
    <row r="271" s="56" customFormat="1" ht="15.75" customHeight="1" x14ac:dyDescent="0.35"/>
    <row r="272" s="56" customFormat="1" ht="15.75" customHeight="1" x14ac:dyDescent="0.35"/>
    <row r="273" s="56" customFormat="1" ht="15.75" customHeight="1" x14ac:dyDescent="0.35"/>
    <row r="274" s="56" customFormat="1" ht="15.75" customHeight="1" x14ac:dyDescent="0.35"/>
    <row r="275" s="56" customFormat="1" ht="15.75" customHeight="1" x14ac:dyDescent="0.35"/>
    <row r="276" s="56" customFormat="1" ht="15.75" customHeight="1" x14ac:dyDescent="0.35"/>
    <row r="277" s="56" customFormat="1" ht="15.75" customHeight="1" x14ac:dyDescent="0.35"/>
    <row r="278" s="56" customFormat="1" ht="15.75" customHeight="1" x14ac:dyDescent="0.35"/>
    <row r="279" s="56" customFormat="1" ht="15.75" customHeight="1" x14ac:dyDescent="0.35"/>
    <row r="280" s="56" customFormat="1" ht="15.75" customHeight="1" x14ac:dyDescent="0.35"/>
    <row r="281" s="56" customFormat="1" ht="15.75" customHeight="1" x14ac:dyDescent="0.35"/>
    <row r="282" s="56" customFormat="1" ht="15.75" customHeight="1" x14ac:dyDescent="0.35"/>
    <row r="283" s="56" customFormat="1" ht="15.75" customHeight="1" x14ac:dyDescent="0.35"/>
    <row r="284" s="56" customFormat="1" ht="15.75" customHeight="1" x14ac:dyDescent="0.35"/>
    <row r="285" s="56" customFormat="1" ht="15.75" customHeight="1" x14ac:dyDescent="0.35"/>
    <row r="286" s="56" customFormat="1" ht="15.75" customHeight="1" x14ac:dyDescent="0.35"/>
    <row r="287" s="56" customFormat="1" ht="15.75" customHeight="1" x14ac:dyDescent="0.35"/>
    <row r="288" s="56" customFormat="1" ht="15.75" customHeight="1" x14ac:dyDescent="0.35"/>
    <row r="289" s="56" customFormat="1" ht="15.75" customHeight="1" x14ac:dyDescent="0.35"/>
    <row r="290" s="56" customFormat="1" ht="15.75" customHeight="1" x14ac:dyDescent="0.35"/>
    <row r="291" s="56" customFormat="1" ht="15.75" customHeight="1" x14ac:dyDescent="0.35"/>
    <row r="292" s="56" customFormat="1" ht="15.75" customHeight="1" x14ac:dyDescent="0.35"/>
    <row r="293" s="56" customFormat="1" ht="15.75" customHeight="1" x14ac:dyDescent="0.35"/>
    <row r="294" s="56" customFormat="1" ht="15.75" customHeight="1" x14ac:dyDescent="0.35"/>
    <row r="295" s="56" customFormat="1" ht="15.75" customHeight="1" x14ac:dyDescent="0.35"/>
    <row r="296" s="56" customFormat="1" ht="15.75" customHeight="1" x14ac:dyDescent="0.35"/>
    <row r="297" s="56" customFormat="1" ht="15.75" customHeight="1" x14ac:dyDescent="0.35"/>
    <row r="298" s="56" customFormat="1" ht="15.75" customHeight="1" x14ac:dyDescent="0.35"/>
    <row r="299" s="56" customFormat="1" ht="15.75" customHeight="1" x14ac:dyDescent="0.35"/>
    <row r="300" s="56" customFormat="1" ht="15.75" customHeight="1" x14ac:dyDescent="0.35"/>
    <row r="301" s="56" customFormat="1" ht="15.75" customHeight="1" x14ac:dyDescent="0.35"/>
    <row r="302" s="56" customFormat="1" ht="15.75" customHeight="1" x14ac:dyDescent="0.35"/>
    <row r="303" s="56" customFormat="1" ht="15.75" customHeight="1" x14ac:dyDescent="0.35"/>
    <row r="304" s="56" customFormat="1" ht="15.75" customHeight="1" x14ac:dyDescent="0.35"/>
    <row r="305" s="56" customFormat="1" ht="15.75" customHeight="1" x14ac:dyDescent="0.35"/>
    <row r="306" s="56" customFormat="1" ht="15.75" customHeight="1" x14ac:dyDescent="0.35"/>
    <row r="307" s="56" customFormat="1" ht="15.75" customHeight="1" x14ac:dyDescent="0.35"/>
    <row r="308" s="56" customFormat="1" ht="15.75" customHeight="1" x14ac:dyDescent="0.35"/>
    <row r="309" s="56" customFormat="1" ht="15.75" customHeight="1" x14ac:dyDescent="0.35"/>
    <row r="310" s="56" customFormat="1" ht="15.75" customHeight="1" x14ac:dyDescent="0.35"/>
    <row r="311" s="56" customFormat="1" ht="15.75" customHeight="1" x14ac:dyDescent="0.35"/>
    <row r="312" s="56" customFormat="1" ht="15.75" customHeight="1" x14ac:dyDescent="0.35"/>
    <row r="313" s="56" customFormat="1" ht="15.75" customHeight="1" x14ac:dyDescent="0.35"/>
    <row r="314" s="56" customFormat="1" ht="15.75" customHeight="1" x14ac:dyDescent="0.35"/>
    <row r="315" s="56" customFormat="1" ht="15.75" customHeight="1" x14ac:dyDescent="0.35"/>
    <row r="316" s="56" customFormat="1" ht="15.75" customHeight="1" x14ac:dyDescent="0.35"/>
    <row r="317" s="56" customFormat="1" ht="15.75" customHeight="1" x14ac:dyDescent="0.35"/>
    <row r="318" s="56" customFormat="1" ht="15.75" customHeight="1" x14ac:dyDescent="0.35"/>
    <row r="319" s="56" customFormat="1" ht="15.75" customHeight="1" x14ac:dyDescent="0.35"/>
    <row r="320" s="56" customFormat="1" ht="15.75" customHeight="1" x14ac:dyDescent="0.35"/>
    <row r="321" s="56" customFormat="1" ht="15.75" customHeight="1" x14ac:dyDescent="0.35"/>
    <row r="322" s="56" customFormat="1" ht="15.75" customHeight="1" x14ac:dyDescent="0.35"/>
    <row r="323" s="56" customFormat="1" ht="15.75" customHeight="1" x14ac:dyDescent="0.35"/>
    <row r="324" s="56" customFormat="1" ht="15.75" customHeight="1" x14ac:dyDescent="0.35"/>
    <row r="325" s="56" customFormat="1" ht="15.75" customHeight="1" x14ac:dyDescent="0.35"/>
    <row r="326" s="56" customFormat="1" ht="15.75" customHeight="1" x14ac:dyDescent="0.35"/>
    <row r="327" s="56" customFormat="1" ht="15.75" customHeight="1" x14ac:dyDescent="0.35"/>
    <row r="328" s="56" customFormat="1" ht="15.75" customHeight="1" x14ac:dyDescent="0.35"/>
    <row r="329" s="56" customFormat="1" ht="15.75" customHeight="1" x14ac:dyDescent="0.35"/>
    <row r="330" s="56" customFormat="1" ht="15.75" customHeight="1" x14ac:dyDescent="0.35"/>
    <row r="331" s="56" customFormat="1" ht="15.75" customHeight="1" x14ac:dyDescent="0.35"/>
    <row r="332" s="56" customFormat="1" ht="15.75" customHeight="1" x14ac:dyDescent="0.35"/>
    <row r="333" s="56" customFormat="1" ht="15.75" customHeight="1" x14ac:dyDescent="0.35"/>
    <row r="334" s="56" customFormat="1" ht="15.75" customHeight="1" x14ac:dyDescent="0.35"/>
    <row r="335" s="56" customFormat="1" ht="15.75" customHeight="1" x14ac:dyDescent="0.35"/>
    <row r="336" s="56" customFormat="1" ht="15.75" customHeight="1" x14ac:dyDescent="0.35"/>
    <row r="337" s="56" customFormat="1" ht="15.75" customHeight="1" x14ac:dyDescent="0.35"/>
    <row r="338" s="56" customFormat="1" ht="15.75" customHeight="1" x14ac:dyDescent="0.35"/>
    <row r="339" s="56" customFormat="1" ht="15.75" customHeight="1" x14ac:dyDescent="0.35"/>
    <row r="340" s="56" customFormat="1" ht="15.75" customHeight="1" x14ac:dyDescent="0.35"/>
    <row r="341" s="56" customFormat="1" ht="15.75" customHeight="1" x14ac:dyDescent="0.35"/>
    <row r="342" s="56" customFormat="1" ht="15.75" customHeight="1" x14ac:dyDescent="0.35"/>
    <row r="343" s="56" customFormat="1" ht="15.75" customHeight="1" x14ac:dyDescent="0.35"/>
    <row r="344" s="56" customFormat="1" ht="15.75" customHeight="1" x14ac:dyDescent="0.35"/>
    <row r="345" s="56" customFormat="1" ht="15.75" customHeight="1" x14ac:dyDescent="0.35"/>
    <row r="346" s="56" customFormat="1" ht="15.75" customHeight="1" x14ac:dyDescent="0.35"/>
    <row r="347" s="56" customFormat="1" ht="15.75" customHeight="1" x14ac:dyDescent="0.35"/>
    <row r="348" s="56" customFormat="1" ht="15.75" customHeight="1" x14ac:dyDescent="0.35"/>
    <row r="349" s="56" customFormat="1" ht="15.75" customHeight="1" x14ac:dyDescent="0.35"/>
    <row r="350" s="56" customFormat="1" ht="15.75" customHeight="1" x14ac:dyDescent="0.35"/>
    <row r="351" s="56" customFormat="1" ht="15.75" customHeight="1" x14ac:dyDescent="0.35"/>
    <row r="352" s="56" customFormat="1" ht="15.75" customHeight="1" x14ac:dyDescent="0.35"/>
    <row r="353" s="56" customFormat="1" ht="15.75" customHeight="1" x14ac:dyDescent="0.35"/>
    <row r="354" s="56" customFormat="1" ht="15.75" customHeight="1" x14ac:dyDescent="0.35"/>
    <row r="355" s="56" customFormat="1" ht="15.75" customHeight="1" x14ac:dyDescent="0.35"/>
    <row r="356" s="56" customFormat="1" ht="15.75" customHeight="1" x14ac:dyDescent="0.35"/>
    <row r="357" s="56" customFormat="1" ht="15.75" customHeight="1" x14ac:dyDescent="0.35"/>
    <row r="358" s="56" customFormat="1" ht="15.75" customHeight="1" x14ac:dyDescent="0.35"/>
    <row r="359" s="56" customFormat="1" ht="15.75" customHeight="1" x14ac:dyDescent="0.35"/>
    <row r="360" s="56" customFormat="1" ht="15.75" customHeight="1" x14ac:dyDescent="0.35"/>
    <row r="361" s="56" customFormat="1" ht="15.75" customHeight="1" x14ac:dyDescent="0.35"/>
    <row r="362" s="56" customFormat="1" ht="15.75" customHeight="1" x14ac:dyDescent="0.35"/>
    <row r="363" s="56" customFormat="1" ht="15.75" customHeight="1" x14ac:dyDescent="0.35"/>
    <row r="364" s="56" customFormat="1" ht="15.75" customHeight="1" x14ac:dyDescent="0.35"/>
    <row r="365" s="56" customFormat="1" ht="15.75" customHeight="1" x14ac:dyDescent="0.35"/>
    <row r="366" s="56" customFormat="1" ht="15.75" customHeight="1" x14ac:dyDescent="0.35"/>
    <row r="367" s="56" customFormat="1" ht="15.75" customHeight="1" x14ac:dyDescent="0.35"/>
    <row r="368" s="56" customFormat="1" ht="15.75" customHeight="1" x14ac:dyDescent="0.35"/>
    <row r="369" s="56" customFormat="1" ht="15.75" customHeight="1" x14ac:dyDescent="0.35"/>
    <row r="370" s="56" customFormat="1" ht="15.75" customHeight="1" x14ac:dyDescent="0.35"/>
    <row r="371" s="56" customFormat="1" ht="15.75" customHeight="1" x14ac:dyDescent="0.35"/>
    <row r="372" s="56" customFormat="1" ht="15.75" customHeight="1" x14ac:dyDescent="0.35"/>
    <row r="373" s="56" customFormat="1" ht="15.75" customHeight="1" x14ac:dyDescent="0.35"/>
    <row r="374" s="56" customFormat="1" ht="15.75" customHeight="1" x14ac:dyDescent="0.35"/>
    <row r="375" s="56" customFormat="1" ht="15.75" customHeight="1" x14ac:dyDescent="0.35"/>
    <row r="376" s="56" customFormat="1" ht="15.75" customHeight="1" x14ac:dyDescent="0.35"/>
    <row r="377" s="56" customFormat="1" ht="15.75" customHeight="1" x14ac:dyDescent="0.35"/>
    <row r="378" s="56" customFormat="1" ht="15.75" customHeight="1" x14ac:dyDescent="0.35"/>
    <row r="379" s="56" customFormat="1" ht="15.75" customHeight="1" x14ac:dyDescent="0.35"/>
    <row r="380" s="56" customFormat="1" ht="15.75" customHeight="1" x14ac:dyDescent="0.35"/>
    <row r="381" s="56" customFormat="1" ht="15.75" customHeight="1" x14ac:dyDescent="0.35"/>
    <row r="382" s="56" customFormat="1" ht="15.75" customHeight="1" x14ac:dyDescent="0.35"/>
    <row r="383" s="56" customFormat="1" ht="15.75" customHeight="1" x14ac:dyDescent="0.35"/>
    <row r="384" s="56" customFormat="1" ht="15.75" customHeight="1" x14ac:dyDescent="0.35"/>
    <row r="385" s="56" customFormat="1" ht="15.75" customHeight="1" x14ac:dyDescent="0.35"/>
    <row r="386" s="56" customFormat="1" ht="15.75" customHeight="1" x14ac:dyDescent="0.35"/>
    <row r="387" s="56" customFormat="1" ht="15.75" customHeight="1" x14ac:dyDescent="0.35"/>
    <row r="388" s="56" customFormat="1" ht="15.75" customHeight="1" x14ac:dyDescent="0.35"/>
    <row r="389" s="56" customFormat="1" ht="15.75" customHeight="1" x14ac:dyDescent="0.35"/>
    <row r="390" s="56" customFormat="1" ht="15.75" customHeight="1" x14ac:dyDescent="0.35"/>
    <row r="391" s="56" customFormat="1" ht="15.75" customHeight="1" x14ac:dyDescent="0.35"/>
    <row r="392" s="56" customFormat="1" ht="15.75" customHeight="1" x14ac:dyDescent="0.35"/>
    <row r="393" s="56" customFormat="1" ht="15.75" customHeight="1" x14ac:dyDescent="0.35"/>
    <row r="394" s="56" customFormat="1" ht="15.75" customHeight="1" x14ac:dyDescent="0.35"/>
    <row r="395" s="56" customFormat="1" ht="15.75" customHeight="1" x14ac:dyDescent="0.35"/>
    <row r="396" s="56" customFormat="1" ht="15.75" customHeight="1" x14ac:dyDescent="0.35"/>
    <row r="397" s="56" customFormat="1" ht="15.75" customHeight="1" x14ac:dyDescent="0.35"/>
    <row r="398" s="56" customFormat="1" ht="15.75" customHeight="1" x14ac:dyDescent="0.35"/>
    <row r="399" s="56" customFormat="1" ht="15.75" customHeight="1" x14ac:dyDescent="0.35"/>
    <row r="400" s="56" customFormat="1" ht="15.75" customHeight="1" x14ac:dyDescent="0.35"/>
    <row r="401" s="56" customFormat="1" ht="15.75" customHeight="1" x14ac:dyDescent="0.35"/>
    <row r="402" s="56" customFormat="1" ht="15.75" customHeight="1" x14ac:dyDescent="0.35"/>
    <row r="403" s="56" customFormat="1" ht="15.75" customHeight="1" x14ac:dyDescent="0.35"/>
    <row r="404" s="56" customFormat="1" ht="15.75" customHeight="1" x14ac:dyDescent="0.35"/>
    <row r="405" s="56" customFormat="1" ht="15.75" customHeight="1" x14ac:dyDescent="0.35"/>
    <row r="406" s="56" customFormat="1" ht="15.75" customHeight="1" x14ac:dyDescent="0.35"/>
    <row r="407" s="56" customFormat="1" ht="15.75" customHeight="1" x14ac:dyDescent="0.35"/>
    <row r="408" s="56" customFormat="1" ht="15.75" customHeight="1" x14ac:dyDescent="0.35"/>
    <row r="409" s="56" customFormat="1" ht="15.75" customHeight="1" x14ac:dyDescent="0.35"/>
    <row r="410" s="56" customFormat="1" ht="15.75" customHeight="1" x14ac:dyDescent="0.35"/>
    <row r="411" s="56" customFormat="1" ht="15.75" customHeight="1" x14ac:dyDescent="0.35"/>
    <row r="412" s="56" customFormat="1" ht="15.75" customHeight="1" x14ac:dyDescent="0.35"/>
    <row r="413" s="56" customFormat="1" ht="15.75" customHeight="1" x14ac:dyDescent="0.35"/>
    <row r="414" s="56" customFormat="1" ht="15.75" customHeight="1" x14ac:dyDescent="0.35"/>
    <row r="415" s="56" customFormat="1" ht="15.75" customHeight="1" x14ac:dyDescent="0.35"/>
    <row r="416" s="56" customFormat="1" ht="15.75" customHeight="1" x14ac:dyDescent="0.35"/>
    <row r="417" s="56" customFormat="1" ht="15.75" customHeight="1" x14ac:dyDescent="0.35"/>
    <row r="418" s="56" customFormat="1" ht="15.75" customHeight="1" x14ac:dyDescent="0.35"/>
    <row r="419" s="56" customFormat="1" ht="15.75" customHeight="1" x14ac:dyDescent="0.35"/>
    <row r="420" s="56" customFormat="1" ht="15.75" customHeight="1" x14ac:dyDescent="0.35"/>
    <row r="421" s="56" customFormat="1" ht="15.75" customHeight="1" x14ac:dyDescent="0.35"/>
    <row r="422" s="56" customFormat="1" ht="15.75" customHeight="1" x14ac:dyDescent="0.35"/>
    <row r="423" s="56" customFormat="1" ht="15.75" customHeight="1" x14ac:dyDescent="0.35"/>
    <row r="424" s="56" customFormat="1" ht="15.75" customHeight="1" x14ac:dyDescent="0.35"/>
    <row r="425" s="56" customFormat="1" ht="15.75" customHeight="1" x14ac:dyDescent="0.35"/>
    <row r="426" s="56" customFormat="1" ht="15.75" customHeight="1" x14ac:dyDescent="0.35"/>
    <row r="427" s="56" customFormat="1" ht="15.75" customHeight="1" x14ac:dyDescent="0.35"/>
    <row r="428" s="56" customFormat="1" ht="15.75" customHeight="1" x14ac:dyDescent="0.35"/>
    <row r="429" s="56" customFormat="1" ht="15.75" customHeight="1" x14ac:dyDescent="0.35"/>
    <row r="430" s="56" customFormat="1" ht="15.75" customHeight="1" x14ac:dyDescent="0.35"/>
    <row r="431" s="56" customFormat="1" ht="15.75" customHeight="1" x14ac:dyDescent="0.35"/>
    <row r="432" s="56" customFormat="1" ht="15.75" customHeight="1" x14ac:dyDescent="0.35"/>
    <row r="433" s="56" customFormat="1" ht="15.75" customHeight="1" x14ac:dyDescent="0.35"/>
    <row r="434" s="56" customFormat="1" ht="15.75" customHeight="1" x14ac:dyDescent="0.35"/>
    <row r="435" s="56" customFormat="1" ht="15.75" customHeight="1" x14ac:dyDescent="0.35"/>
    <row r="436" s="56" customFormat="1" ht="15.75" customHeight="1" x14ac:dyDescent="0.35"/>
    <row r="437" s="56" customFormat="1" ht="15.75" customHeight="1" x14ac:dyDescent="0.35"/>
    <row r="438" s="56" customFormat="1" ht="15.75" customHeight="1" x14ac:dyDescent="0.35"/>
    <row r="439" s="56" customFormat="1" ht="15.75" customHeight="1" x14ac:dyDescent="0.35"/>
    <row r="440" s="56" customFormat="1" ht="15.75" customHeight="1" x14ac:dyDescent="0.35"/>
    <row r="441" s="56" customFormat="1" ht="15.75" customHeight="1" x14ac:dyDescent="0.35"/>
    <row r="442" s="56" customFormat="1" ht="15.75" customHeight="1" x14ac:dyDescent="0.35"/>
    <row r="443" s="56" customFormat="1" ht="15.75" customHeight="1" x14ac:dyDescent="0.35"/>
    <row r="444" s="56" customFormat="1" ht="15.75" customHeight="1" x14ac:dyDescent="0.35"/>
    <row r="445" s="56" customFormat="1" ht="15.75" customHeight="1" x14ac:dyDescent="0.35"/>
    <row r="446" s="56" customFormat="1" ht="15.75" customHeight="1" x14ac:dyDescent="0.35"/>
    <row r="447" s="56" customFormat="1" ht="15.75" customHeight="1" x14ac:dyDescent="0.35"/>
    <row r="448" s="56" customFormat="1" ht="15.75" customHeight="1" x14ac:dyDescent="0.35"/>
    <row r="449" s="56" customFormat="1" ht="15.75" customHeight="1" x14ac:dyDescent="0.35"/>
    <row r="450" s="56" customFormat="1" ht="15.75" customHeight="1" x14ac:dyDescent="0.35"/>
    <row r="451" s="56" customFormat="1" ht="15.75" customHeight="1" x14ac:dyDescent="0.35"/>
    <row r="452" s="56" customFormat="1" ht="15.75" customHeight="1" x14ac:dyDescent="0.35"/>
    <row r="453" s="56" customFormat="1" ht="15.75" customHeight="1" x14ac:dyDescent="0.35"/>
    <row r="454" s="56" customFormat="1" ht="15.75" customHeight="1" x14ac:dyDescent="0.35"/>
    <row r="455" s="56" customFormat="1" ht="15.75" customHeight="1" x14ac:dyDescent="0.35"/>
    <row r="456" s="56" customFormat="1" ht="15.75" customHeight="1" x14ac:dyDescent="0.35"/>
    <row r="457" s="56" customFormat="1" ht="15.75" customHeight="1" x14ac:dyDescent="0.35"/>
    <row r="458" s="56" customFormat="1" ht="15.75" customHeight="1" x14ac:dyDescent="0.35"/>
    <row r="459" s="56" customFormat="1" ht="15.75" customHeight="1" x14ac:dyDescent="0.35"/>
    <row r="460" s="56" customFormat="1" ht="15.75" customHeight="1" x14ac:dyDescent="0.35"/>
    <row r="461" s="56" customFormat="1" ht="15.75" customHeight="1" x14ac:dyDescent="0.35"/>
    <row r="462" s="56" customFormat="1" ht="15.75" customHeight="1" x14ac:dyDescent="0.35"/>
    <row r="463" s="56" customFormat="1" ht="15.75" customHeight="1" x14ac:dyDescent="0.35"/>
    <row r="464" s="56" customFormat="1" ht="15.75" customHeight="1" x14ac:dyDescent="0.35"/>
    <row r="465" s="56" customFormat="1" ht="15.75" customHeight="1" x14ac:dyDescent="0.35"/>
    <row r="466" s="56" customFormat="1" ht="15.75" customHeight="1" x14ac:dyDescent="0.35"/>
    <row r="467" s="56" customFormat="1" ht="15.75" customHeight="1" x14ac:dyDescent="0.35"/>
    <row r="468" s="56" customFormat="1" ht="15.75" customHeight="1" x14ac:dyDescent="0.35"/>
    <row r="469" s="56" customFormat="1" ht="15.75" customHeight="1" x14ac:dyDescent="0.35"/>
    <row r="470" s="56" customFormat="1" ht="15.75" customHeight="1" x14ac:dyDescent="0.35"/>
    <row r="471" s="56" customFormat="1" ht="15.75" customHeight="1" x14ac:dyDescent="0.35"/>
    <row r="472" s="56" customFormat="1" ht="15.75" customHeight="1" x14ac:dyDescent="0.35"/>
    <row r="473" s="56" customFormat="1" ht="15.75" customHeight="1" x14ac:dyDescent="0.35"/>
    <row r="474" s="56" customFormat="1" ht="15.75" customHeight="1" x14ac:dyDescent="0.35"/>
    <row r="475" s="56" customFormat="1" ht="15.75" customHeight="1" x14ac:dyDescent="0.35"/>
    <row r="476" s="56" customFormat="1" ht="15.75" customHeight="1" x14ac:dyDescent="0.35"/>
    <row r="477" s="56" customFormat="1" ht="15.75" customHeight="1" x14ac:dyDescent="0.35"/>
    <row r="478" s="56" customFormat="1" ht="15.75" customHeight="1" x14ac:dyDescent="0.35"/>
    <row r="479" s="56" customFormat="1" ht="15.75" customHeight="1" x14ac:dyDescent="0.35"/>
    <row r="480" s="56" customFormat="1" ht="15.75" customHeight="1" x14ac:dyDescent="0.35"/>
    <row r="481" s="56" customFormat="1" ht="15.75" customHeight="1" x14ac:dyDescent="0.35"/>
    <row r="482" s="56" customFormat="1" ht="15.75" customHeight="1" x14ac:dyDescent="0.35"/>
    <row r="483" s="56" customFormat="1" ht="15.75" customHeight="1" x14ac:dyDescent="0.35"/>
    <row r="484" s="56" customFormat="1" ht="15.75" customHeight="1" x14ac:dyDescent="0.35"/>
    <row r="485" s="56" customFormat="1" ht="15.75" customHeight="1" x14ac:dyDescent="0.35"/>
    <row r="486" s="56" customFormat="1" ht="15.75" customHeight="1" x14ac:dyDescent="0.35"/>
    <row r="487" s="56" customFormat="1" ht="15.75" customHeight="1" x14ac:dyDescent="0.35"/>
    <row r="488" s="56" customFormat="1" ht="15.75" customHeight="1" x14ac:dyDescent="0.35"/>
    <row r="489" s="56" customFormat="1" ht="15.75" customHeight="1" x14ac:dyDescent="0.35"/>
    <row r="490" s="56" customFormat="1" ht="15.75" customHeight="1" x14ac:dyDescent="0.35"/>
    <row r="491" s="56" customFormat="1" ht="15.75" customHeight="1" x14ac:dyDescent="0.35"/>
    <row r="492" s="56" customFormat="1" ht="15.75" customHeight="1" x14ac:dyDescent="0.35"/>
    <row r="493" s="56" customFormat="1" ht="15.75" customHeight="1" x14ac:dyDescent="0.35"/>
    <row r="494" s="56" customFormat="1" ht="15.75" customHeight="1" x14ac:dyDescent="0.35"/>
    <row r="495" s="56" customFormat="1" ht="15.75" customHeight="1" x14ac:dyDescent="0.35"/>
    <row r="496" s="56" customFormat="1" ht="15.75" customHeight="1" x14ac:dyDescent="0.35"/>
    <row r="497" s="56" customFormat="1" ht="15.75" customHeight="1" x14ac:dyDescent="0.35"/>
    <row r="498" s="56" customFormat="1" ht="15.75" customHeight="1" x14ac:dyDescent="0.35"/>
    <row r="499" s="56" customFormat="1" ht="15.75" customHeight="1" x14ac:dyDescent="0.35"/>
    <row r="500" s="56" customFormat="1" ht="15.75" customHeight="1" x14ac:dyDescent="0.35"/>
    <row r="501" s="56" customFormat="1" ht="15.75" customHeight="1" x14ac:dyDescent="0.35"/>
    <row r="502" s="56" customFormat="1" ht="15.75" customHeight="1" x14ac:dyDescent="0.35"/>
    <row r="503" s="56" customFormat="1" ht="15.75" customHeight="1" x14ac:dyDescent="0.35"/>
    <row r="504" s="56" customFormat="1" ht="15.75" customHeight="1" x14ac:dyDescent="0.35"/>
    <row r="505" s="56" customFormat="1" ht="15.75" customHeight="1" x14ac:dyDescent="0.35"/>
    <row r="506" s="56" customFormat="1" ht="15.75" customHeight="1" x14ac:dyDescent="0.35"/>
    <row r="507" s="56" customFormat="1" ht="15.75" customHeight="1" x14ac:dyDescent="0.35"/>
    <row r="508" s="56" customFormat="1" ht="15.75" customHeight="1" x14ac:dyDescent="0.35"/>
    <row r="509" s="56" customFormat="1" ht="15.75" customHeight="1" x14ac:dyDescent="0.35"/>
    <row r="510" s="56" customFormat="1" ht="15.75" customHeight="1" x14ac:dyDescent="0.35"/>
    <row r="511" s="56" customFormat="1" ht="15.75" customHeight="1" x14ac:dyDescent="0.35"/>
    <row r="512" s="56" customFormat="1" ht="15.75" customHeight="1" x14ac:dyDescent="0.35"/>
    <row r="513" s="56" customFormat="1" ht="15.75" customHeight="1" x14ac:dyDescent="0.35"/>
    <row r="514" s="56" customFormat="1" ht="15.75" customHeight="1" x14ac:dyDescent="0.35"/>
    <row r="515" s="56" customFormat="1" ht="15.75" customHeight="1" x14ac:dyDescent="0.35"/>
    <row r="516" s="56" customFormat="1" ht="15.75" customHeight="1" x14ac:dyDescent="0.35"/>
    <row r="517" s="56" customFormat="1" ht="15.75" customHeight="1" x14ac:dyDescent="0.35"/>
    <row r="518" s="56" customFormat="1" ht="15.75" customHeight="1" x14ac:dyDescent="0.35"/>
    <row r="519" s="56" customFormat="1" ht="15.75" customHeight="1" x14ac:dyDescent="0.35"/>
    <row r="520" s="56" customFormat="1" ht="15.75" customHeight="1" x14ac:dyDescent="0.35"/>
    <row r="521" s="56" customFormat="1" ht="15.75" customHeight="1" x14ac:dyDescent="0.35"/>
    <row r="522" s="56" customFormat="1" ht="15.75" customHeight="1" x14ac:dyDescent="0.35"/>
    <row r="523" s="56" customFormat="1" ht="15.75" customHeight="1" x14ac:dyDescent="0.35"/>
    <row r="524" s="56" customFormat="1" ht="15.75" customHeight="1" x14ac:dyDescent="0.35"/>
    <row r="525" s="56" customFormat="1" ht="15.75" customHeight="1" x14ac:dyDescent="0.35"/>
    <row r="526" s="56" customFormat="1" ht="15.75" customHeight="1" x14ac:dyDescent="0.35"/>
    <row r="527" s="56" customFormat="1" ht="15.75" customHeight="1" x14ac:dyDescent="0.35"/>
    <row r="528" s="56" customFormat="1" ht="15.75" customHeight="1" x14ac:dyDescent="0.35"/>
    <row r="529" s="56" customFormat="1" ht="15.75" customHeight="1" x14ac:dyDescent="0.35"/>
    <row r="530" s="56" customFormat="1" ht="15.75" customHeight="1" x14ac:dyDescent="0.35"/>
    <row r="531" s="56" customFormat="1" ht="15.75" customHeight="1" x14ac:dyDescent="0.35"/>
    <row r="532" s="56" customFormat="1" ht="15.75" customHeight="1" x14ac:dyDescent="0.35"/>
    <row r="533" s="56" customFormat="1" ht="15.75" customHeight="1" x14ac:dyDescent="0.35"/>
    <row r="534" s="56" customFormat="1" ht="15.75" customHeight="1" x14ac:dyDescent="0.35"/>
    <row r="535" s="56" customFormat="1" ht="15.75" customHeight="1" x14ac:dyDescent="0.35"/>
    <row r="536" s="56" customFormat="1" ht="15.75" customHeight="1" x14ac:dyDescent="0.35"/>
    <row r="537" s="56" customFormat="1" ht="15.75" customHeight="1" x14ac:dyDescent="0.35"/>
    <row r="538" s="56" customFormat="1" ht="15.75" customHeight="1" x14ac:dyDescent="0.35"/>
    <row r="539" s="56" customFormat="1" ht="15.75" customHeight="1" x14ac:dyDescent="0.35"/>
    <row r="540" s="56" customFormat="1" ht="15.75" customHeight="1" x14ac:dyDescent="0.35"/>
    <row r="541" s="56" customFormat="1" ht="15.75" customHeight="1" x14ac:dyDescent="0.35"/>
    <row r="542" s="56" customFormat="1" ht="15.75" customHeight="1" x14ac:dyDescent="0.35"/>
    <row r="543" s="56" customFormat="1" ht="15.75" customHeight="1" x14ac:dyDescent="0.35"/>
    <row r="544" s="56" customFormat="1" ht="15.75" customHeight="1" x14ac:dyDescent="0.35"/>
    <row r="545" s="56" customFormat="1" ht="15.75" customHeight="1" x14ac:dyDescent="0.35"/>
    <row r="546" s="56" customFormat="1" ht="15.75" customHeight="1" x14ac:dyDescent="0.35"/>
    <row r="547" s="56" customFormat="1" ht="15.75" customHeight="1" x14ac:dyDescent="0.35"/>
    <row r="548" s="56" customFormat="1" ht="15.75" customHeight="1" x14ac:dyDescent="0.35"/>
    <row r="549" s="56" customFormat="1" ht="15.75" customHeight="1" x14ac:dyDescent="0.35"/>
    <row r="550" s="56" customFormat="1" ht="15.75" customHeight="1" x14ac:dyDescent="0.35"/>
    <row r="551" s="56" customFormat="1" ht="15.75" customHeight="1" x14ac:dyDescent="0.35"/>
    <row r="552" s="56" customFormat="1" ht="15.75" customHeight="1" x14ac:dyDescent="0.35"/>
    <row r="553" s="56" customFormat="1" ht="15.75" customHeight="1" x14ac:dyDescent="0.35"/>
    <row r="554" s="56" customFormat="1" ht="15.75" customHeight="1" x14ac:dyDescent="0.35"/>
    <row r="555" s="56" customFormat="1" ht="15.75" customHeight="1" x14ac:dyDescent="0.35"/>
    <row r="556" s="56" customFormat="1" ht="15.75" customHeight="1" x14ac:dyDescent="0.35"/>
    <row r="557" s="56" customFormat="1" ht="15.75" customHeight="1" x14ac:dyDescent="0.35"/>
    <row r="558" s="56" customFormat="1" ht="15.75" customHeight="1" x14ac:dyDescent="0.35"/>
    <row r="559" s="56" customFormat="1" ht="15.75" customHeight="1" x14ac:dyDescent="0.35"/>
    <row r="560" s="56" customFormat="1" ht="15.75" customHeight="1" x14ac:dyDescent="0.35"/>
    <row r="561" s="56" customFormat="1" ht="15.75" customHeight="1" x14ac:dyDescent="0.35"/>
    <row r="562" s="56" customFormat="1" ht="15.75" customHeight="1" x14ac:dyDescent="0.35"/>
    <row r="563" s="56" customFormat="1" ht="15.75" customHeight="1" x14ac:dyDescent="0.35"/>
    <row r="564" s="56" customFormat="1" ht="15.75" customHeight="1" x14ac:dyDescent="0.35"/>
    <row r="565" s="56" customFormat="1" ht="15.75" customHeight="1" x14ac:dyDescent="0.35"/>
    <row r="566" s="56" customFormat="1" ht="15.75" customHeight="1" x14ac:dyDescent="0.35"/>
    <row r="567" s="56" customFormat="1" ht="15.75" customHeight="1" x14ac:dyDescent="0.35"/>
    <row r="568" s="56" customFormat="1" ht="15.75" customHeight="1" x14ac:dyDescent="0.35"/>
    <row r="569" s="56" customFormat="1" ht="15.75" customHeight="1" x14ac:dyDescent="0.35"/>
    <row r="570" s="56" customFormat="1" ht="15.75" customHeight="1" x14ac:dyDescent="0.35"/>
    <row r="571" s="56" customFormat="1" ht="15.75" customHeight="1" x14ac:dyDescent="0.35"/>
    <row r="572" s="56" customFormat="1" ht="15.75" customHeight="1" x14ac:dyDescent="0.35"/>
    <row r="573" s="56" customFormat="1" ht="15.75" customHeight="1" x14ac:dyDescent="0.35"/>
    <row r="574" s="56" customFormat="1" ht="15.75" customHeight="1" x14ac:dyDescent="0.35"/>
    <row r="575" s="56" customFormat="1" ht="15.75" customHeight="1" x14ac:dyDescent="0.35"/>
    <row r="576" s="56" customFormat="1" ht="15.75" customHeight="1" x14ac:dyDescent="0.35"/>
    <row r="577" s="56" customFormat="1" ht="15.75" customHeight="1" x14ac:dyDescent="0.35"/>
    <row r="578" s="56" customFormat="1" ht="15.75" customHeight="1" x14ac:dyDescent="0.35"/>
    <row r="579" s="56" customFormat="1" ht="15.75" customHeight="1" x14ac:dyDescent="0.35"/>
    <row r="580" s="56" customFormat="1" ht="15.75" customHeight="1" x14ac:dyDescent="0.35"/>
    <row r="581" s="56" customFormat="1" ht="15.75" customHeight="1" x14ac:dyDescent="0.35"/>
    <row r="582" s="56" customFormat="1" ht="15.75" customHeight="1" x14ac:dyDescent="0.35"/>
    <row r="583" s="56" customFormat="1" ht="15.75" customHeight="1" x14ac:dyDescent="0.35"/>
    <row r="584" s="56" customFormat="1" ht="15.75" customHeight="1" x14ac:dyDescent="0.35"/>
    <row r="585" s="56" customFormat="1" ht="15.75" customHeight="1" x14ac:dyDescent="0.35"/>
    <row r="586" s="56" customFormat="1" ht="15.75" customHeight="1" x14ac:dyDescent="0.35"/>
    <row r="587" s="56" customFormat="1" ht="15.75" customHeight="1" x14ac:dyDescent="0.35"/>
    <row r="588" s="56" customFormat="1" ht="15.75" customHeight="1" x14ac:dyDescent="0.35"/>
    <row r="589" s="56" customFormat="1" ht="15.75" customHeight="1" x14ac:dyDescent="0.35"/>
    <row r="590" s="56" customFormat="1" ht="15.75" customHeight="1" x14ac:dyDescent="0.35"/>
    <row r="591" s="56" customFormat="1" ht="15.75" customHeight="1" x14ac:dyDescent="0.35"/>
    <row r="592" s="56" customFormat="1" ht="15.75" customHeight="1" x14ac:dyDescent="0.35"/>
    <row r="593" s="56" customFormat="1" ht="15.75" customHeight="1" x14ac:dyDescent="0.35"/>
    <row r="594" s="56" customFormat="1" ht="15.75" customHeight="1" x14ac:dyDescent="0.35"/>
    <row r="595" s="56" customFormat="1" ht="15.75" customHeight="1" x14ac:dyDescent="0.35"/>
    <row r="596" s="56" customFormat="1" ht="15.75" customHeight="1" x14ac:dyDescent="0.35"/>
    <row r="597" s="56" customFormat="1" ht="15.75" customHeight="1" x14ac:dyDescent="0.35"/>
    <row r="598" s="56" customFormat="1" ht="15.75" customHeight="1" x14ac:dyDescent="0.35"/>
    <row r="599" s="56" customFormat="1" ht="15.75" customHeight="1" x14ac:dyDescent="0.35"/>
    <row r="600" s="56" customFormat="1" ht="15.75" customHeight="1" x14ac:dyDescent="0.35"/>
    <row r="601" s="56" customFormat="1" ht="15.75" customHeight="1" x14ac:dyDescent="0.35"/>
    <row r="602" s="56" customFormat="1" ht="15.75" customHeight="1" x14ac:dyDescent="0.35"/>
    <row r="603" s="56" customFormat="1" ht="15.75" customHeight="1" x14ac:dyDescent="0.35"/>
    <row r="604" s="56" customFormat="1" ht="15.75" customHeight="1" x14ac:dyDescent="0.35"/>
    <row r="605" s="56" customFormat="1" ht="15.75" customHeight="1" x14ac:dyDescent="0.35"/>
    <row r="606" s="56" customFormat="1" ht="15.75" customHeight="1" x14ac:dyDescent="0.35"/>
    <row r="607" s="56" customFormat="1" ht="15.75" customHeight="1" x14ac:dyDescent="0.35"/>
    <row r="608" s="56" customFormat="1" ht="15.75" customHeight="1" x14ac:dyDescent="0.35"/>
    <row r="609" s="56" customFormat="1" ht="15.75" customHeight="1" x14ac:dyDescent="0.35"/>
    <row r="610" s="56" customFormat="1" ht="15.75" customHeight="1" x14ac:dyDescent="0.35"/>
    <row r="611" s="56" customFormat="1" ht="15.75" customHeight="1" x14ac:dyDescent="0.35"/>
    <row r="612" s="56" customFormat="1" ht="15.75" customHeight="1" x14ac:dyDescent="0.35"/>
    <row r="613" s="56" customFormat="1" ht="15.75" customHeight="1" x14ac:dyDescent="0.35"/>
    <row r="614" s="56" customFormat="1" ht="15.75" customHeight="1" x14ac:dyDescent="0.35"/>
    <row r="615" s="56" customFormat="1" ht="15.75" customHeight="1" x14ac:dyDescent="0.35"/>
    <row r="616" s="56" customFormat="1" ht="15.75" customHeight="1" x14ac:dyDescent="0.35"/>
    <row r="617" s="56" customFormat="1" ht="15.75" customHeight="1" x14ac:dyDescent="0.35"/>
    <row r="618" s="56" customFormat="1" ht="15.75" customHeight="1" x14ac:dyDescent="0.35"/>
    <row r="619" s="56" customFormat="1" ht="15.75" customHeight="1" x14ac:dyDescent="0.35"/>
    <row r="620" s="56" customFormat="1" ht="15.75" customHeight="1" x14ac:dyDescent="0.35"/>
    <row r="621" s="56" customFormat="1" ht="15.75" customHeight="1" x14ac:dyDescent="0.35"/>
    <row r="622" s="56" customFormat="1" ht="15.75" customHeight="1" x14ac:dyDescent="0.35"/>
    <row r="623" s="56" customFormat="1" ht="15.75" customHeight="1" x14ac:dyDescent="0.35"/>
    <row r="624" s="56" customFormat="1" ht="15.75" customHeight="1" x14ac:dyDescent="0.35"/>
    <row r="625" s="56" customFormat="1" ht="15.75" customHeight="1" x14ac:dyDescent="0.35"/>
    <row r="626" s="56" customFormat="1" ht="15.75" customHeight="1" x14ac:dyDescent="0.35"/>
    <row r="627" s="56" customFormat="1" ht="15.75" customHeight="1" x14ac:dyDescent="0.35"/>
    <row r="628" s="56" customFormat="1" ht="15.75" customHeight="1" x14ac:dyDescent="0.35"/>
    <row r="629" s="56" customFormat="1" ht="15.75" customHeight="1" x14ac:dyDescent="0.35"/>
    <row r="630" s="56" customFormat="1" ht="15.75" customHeight="1" x14ac:dyDescent="0.35"/>
    <row r="631" s="56" customFormat="1" ht="15.75" customHeight="1" x14ac:dyDescent="0.35"/>
    <row r="632" s="56" customFormat="1" ht="15.75" customHeight="1" x14ac:dyDescent="0.35"/>
    <row r="633" s="56" customFormat="1" ht="15.75" customHeight="1" x14ac:dyDescent="0.35"/>
    <row r="634" s="56" customFormat="1" ht="15.75" customHeight="1" x14ac:dyDescent="0.35"/>
    <row r="635" s="56" customFormat="1" ht="15.75" customHeight="1" x14ac:dyDescent="0.35"/>
    <row r="636" s="56" customFormat="1" ht="15.75" customHeight="1" x14ac:dyDescent="0.35"/>
    <row r="637" s="56" customFormat="1" ht="15.75" customHeight="1" x14ac:dyDescent="0.35"/>
    <row r="638" s="56" customFormat="1" ht="15.75" customHeight="1" x14ac:dyDescent="0.35"/>
    <row r="639" s="56" customFormat="1" ht="15.75" customHeight="1" x14ac:dyDescent="0.35"/>
    <row r="640" s="56" customFormat="1" ht="15.75" customHeight="1" x14ac:dyDescent="0.35"/>
    <row r="641" s="56" customFormat="1" ht="15.75" customHeight="1" x14ac:dyDescent="0.35"/>
    <row r="642" s="56" customFormat="1" ht="15.75" customHeight="1" x14ac:dyDescent="0.35"/>
    <row r="643" s="56" customFormat="1" ht="15.75" customHeight="1" x14ac:dyDescent="0.35"/>
    <row r="644" s="56" customFormat="1" ht="15.75" customHeight="1" x14ac:dyDescent="0.35"/>
    <row r="645" s="56" customFormat="1" ht="15.75" customHeight="1" x14ac:dyDescent="0.35"/>
    <row r="646" s="56" customFormat="1" ht="15.75" customHeight="1" x14ac:dyDescent="0.35"/>
    <row r="647" s="56" customFormat="1" ht="15.75" customHeight="1" x14ac:dyDescent="0.35"/>
    <row r="648" s="56" customFormat="1" ht="15.75" customHeight="1" x14ac:dyDescent="0.35"/>
    <row r="649" s="56" customFormat="1" ht="15.75" customHeight="1" x14ac:dyDescent="0.35"/>
    <row r="650" s="56" customFormat="1" ht="15.75" customHeight="1" x14ac:dyDescent="0.35"/>
    <row r="651" s="56" customFormat="1" ht="15.75" customHeight="1" x14ac:dyDescent="0.35"/>
    <row r="652" s="56" customFormat="1" ht="15.75" customHeight="1" x14ac:dyDescent="0.35"/>
    <row r="653" s="56" customFormat="1" ht="15.75" customHeight="1" x14ac:dyDescent="0.35"/>
    <row r="654" s="56" customFormat="1" ht="15.75" customHeight="1" x14ac:dyDescent="0.35"/>
    <row r="655" s="56" customFormat="1" ht="15.75" customHeight="1" x14ac:dyDescent="0.35"/>
    <row r="656" s="56" customFormat="1" ht="15.75" customHeight="1" x14ac:dyDescent="0.35"/>
    <row r="657" s="56" customFormat="1" ht="15.75" customHeight="1" x14ac:dyDescent="0.35"/>
    <row r="658" s="56" customFormat="1" ht="15.75" customHeight="1" x14ac:dyDescent="0.35"/>
    <row r="659" s="56" customFormat="1" ht="15.75" customHeight="1" x14ac:dyDescent="0.35"/>
    <row r="660" s="56" customFormat="1" ht="15.75" customHeight="1" x14ac:dyDescent="0.35"/>
    <row r="661" s="56" customFormat="1" ht="15.75" customHeight="1" x14ac:dyDescent="0.35"/>
    <row r="662" s="56" customFormat="1" ht="15.75" customHeight="1" x14ac:dyDescent="0.35"/>
    <row r="663" s="56" customFormat="1" ht="15.75" customHeight="1" x14ac:dyDescent="0.35"/>
    <row r="664" s="56" customFormat="1" ht="15.75" customHeight="1" x14ac:dyDescent="0.35"/>
    <row r="665" s="56" customFormat="1" ht="15.75" customHeight="1" x14ac:dyDescent="0.35"/>
    <row r="666" s="56" customFormat="1" ht="15.75" customHeight="1" x14ac:dyDescent="0.35"/>
    <row r="667" s="56" customFormat="1" ht="15.75" customHeight="1" x14ac:dyDescent="0.35"/>
    <row r="668" s="56" customFormat="1" ht="15.75" customHeight="1" x14ac:dyDescent="0.35"/>
    <row r="669" s="56" customFormat="1" ht="15.75" customHeight="1" x14ac:dyDescent="0.35"/>
    <row r="670" s="56" customFormat="1" ht="15.75" customHeight="1" x14ac:dyDescent="0.35"/>
    <row r="671" s="56" customFormat="1" ht="15.75" customHeight="1" x14ac:dyDescent="0.35"/>
    <row r="672" s="56" customFormat="1" ht="15.75" customHeight="1" x14ac:dyDescent="0.35"/>
    <row r="673" s="56" customFormat="1" ht="15.75" customHeight="1" x14ac:dyDescent="0.35"/>
    <row r="674" s="56" customFormat="1" ht="15.75" customHeight="1" x14ac:dyDescent="0.35"/>
    <row r="675" s="56" customFormat="1" ht="15.75" customHeight="1" x14ac:dyDescent="0.35"/>
    <row r="676" s="56" customFormat="1" ht="15.75" customHeight="1" x14ac:dyDescent="0.35"/>
    <row r="677" s="56" customFormat="1" ht="15.75" customHeight="1" x14ac:dyDescent="0.35"/>
    <row r="678" s="56" customFormat="1" ht="15.75" customHeight="1" x14ac:dyDescent="0.35"/>
    <row r="679" s="56" customFormat="1" ht="15.75" customHeight="1" x14ac:dyDescent="0.35"/>
    <row r="680" s="56" customFormat="1" ht="15.75" customHeight="1" x14ac:dyDescent="0.35"/>
    <row r="681" s="56" customFormat="1" ht="15.75" customHeight="1" x14ac:dyDescent="0.35"/>
    <row r="682" s="56" customFormat="1" ht="15.75" customHeight="1" x14ac:dyDescent="0.35"/>
    <row r="683" s="56" customFormat="1" ht="15.75" customHeight="1" x14ac:dyDescent="0.35"/>
    <row r="684" s="56" customFormat="1" ht="15.75" customHeight="1" x14ac:dyDescent="0.35"/>
    <row r="685" s="56" customFormat="1" ht="15.75" customHeight="1" x14ac:dyDescent="0.35"/>
    <row r="686" s="56" customFormat="1" ht="15.75" customHeight="1" x14ac:dyDescent="0.35"/>
    <row r="687" s="56" customFormat="1" ht="15.75" customHeight="1" x14ac:dyDescent="0.35"/>
    <row r="688" s="56" customFormat="1" ht="15.75" customHeight="1" x14ac:dyDescent="0.35"/>
    <row r="689" s="56" customFormat="1" ht="15.75" customHeight="1" x14ac:dyDescent="0.35"/>
    <row r="690" s="56" customFormat="1" ht="15.75" customHeight="1" x14ac:dyDescent="0.35"/>
    <row r="691" s="56" customFormat="1" ht="15.75" customHeight="1" x14ac:dyDescent="0.35"/>
    <row r="692" s="56" customFormat="1" ht="15.75" customHeight="1" x14ac:dyDescent="0.35"/>
    <row r="693" s="56" customFormat="1" ht="15.75" customHeight="1" x14ac:dyDescent="0.35"/>
    <row r="694" s="56" customFormat="1" ht="15.75" customHeight="1" x14ac:dyDescent="0.35"/>
    <row r="695" s="56" customFormat="1" ht="15.75" customHeight="1" x14ac:dyDescent="0.35"/>
    <row r="696" s="56" customFormat="1" ht="15.75" customHeight="1" x14ac:dyDescent="0.35"/>
    <row r="697" s="56" customFormat="1" ht="15.75" customHeight="1" x14ac:dyDescent="0.35"/>
    <row r="698" s="56" customFormat="1" ht="15.75" customHeight="1" x14ac:dyDescent="0.35"/>
    <row r="699" s="56" customFormat="1" ht="15.75" customHeight="1" x14ac:dyDescent="0.35"/>
    <row r="700" s="56" customFormat="1" ht="15.75" customHeight="1" x14ac:dyDescent="0.35"/>
    <row r="701" s="56" customFormat="1" ht="15.75" customHeight="1" x14ac:dyDescent="0.35"/>
    <row r="702" s="56" customFormat="1" ht="15.75" customHeight="1" x14ac:dyDescent="0.35"/>
    <row r="703" s="56" customFormat="1" ht="15.75" customHeight="1" x14ac:dyDescent="0.35"/>
    <row r="704" s="56" customFormat="1" ht="15.75" customHeight="1" x14ac:dyDescent="0.35"/>
    <row r="705" s="56" customFormat="1" ht="15.75" customHeight="1" x14ac:dyDescent="0.35"/>
    <row r="706" s="56" customFormat="1" ht="15.75" customHeight="1" x14ac:dyDescent="0.35"/>
    <row r="707" s="56" customFormat="1" ht="15.75" customHeight="1" x14ac:dyDescent="0.35"/>
    <row r="708" s="56" customFormat="1" ht="15.75" customHeight="1" x14ac:dyDescent="0.35"/>
    <row r="709" s="56" customFormat="1" ht="15.75" customHeight="1" x14ac:dyDescent="0.35"/>
    <row r="710" s="56" customFormat="1" ht="15.75" customHeight="1" x14ac:dyDescent="0.35"/>
    <row r="711" s="56" customFormat="1" ht="15.75" customHeight="1" x14ac:dyDescent="0.35"/>
    <row r="712" s="56" customFormat="1" ht="15.75" customHeight="1" x14ac:dyDescent="0.35"/>
    <row r="713" s="56" customFormat="1" ht="15.75" customHeight="1" x14ac:dyDescent="0.35"/>
    <row r="714" s="56" customFormat="1" ht="15.75" customHeight="1" x14ac:dyDescent="0.35"/>
    <row r="715" s="56" customFormat="1" ht="15.75" customHeight="1" x14ac:dyDescent="0.35"/>
    <row r="716" s="56" customFormat="1" ht="15.75" customHeight="1" x14ac:dyDescent="0.35"/>
    <row r="717" s="56" customFormat="1" ht="15.75" customHeight="1" x14ac:dyDescent="0.35"/>
    <row r="718" s="56" customFormat="1" ht="15.75" customHeight="1" x14ac:dyDescent="0.35"/>
    <row r="719" s="56" customFormat="1" ht="15.75" customHeight="1" x14ac:dyDescent="0.35"/>
    <row r="720" s="56" customFormat="1" ht="15.75" customHeight="1" x14ac:dyDescent="0.35"/>
    <row r="721" s="56" customFormat="1" ht="15.75" customHeight="1" x14ac:dyDescent="0.35"/>
    <row r="722" s="56" customFormat="1" ht="15.75" customHeight="1" x14ac:dyDescent="0.35"/>
    <row r="723" s="56" customFormat="1" ht="15.75" customHeight="1" x14ac:dyDescent="0.35"/>
    <row r="724" s="56" customFormat="1" ht="15.75" customHeight="1" x14ac:dyDescent="0.35"/>
    <row r="725" s="56" customFormat="1" ht="15.75" customHeight="1" x14ac:dyDescent="0.35"/>
    <row r="726" s="56" customFormat="1" ht="15.75" customHeight="1" x14ac:dyDescent="0.35"/>
    <row r="727" s="56" customFormat="1" ht="15.75" customHeight="1" x14ac:dyDescent="0.35"/>
    <row r="728" s="56" customFormat="1" ht="15.75" customHeight="1" x14ac:dyDescent="0.35"/>
    <row r="729" s="56" customFormat="1" ht="15.75" customHeight="1" x14ac:dyDescent="0.35"/>
    <row r="730" s="56" customFormat="1" ht="15.75" customHeight="1" x14ac:dyDescent="0.35"/>
    <row r="731" s="56" customFormat="1" ht="15.75" customHeight="1" x14ac:dyDescent="0.35"/>
    <row r="732" s="56" customFormat="1" ht="15.75" customHeight="1" x14ac:dyDescent="0.35"/>
    <row r="733" s="56" customFormat="1" ht="15.75" customHeight="1" x14ac:dyDescent="0.35"/>
    <row r="734" s="56" customFormat="1" ht="15.75" customHeight="1" x14ac:dyDescent="0.35"/>
    <row r="735" s="56" customFormat="1" ht="15.75" customHeight="1" x14ac:dyDescent="0.35"/>
    <row r="736" s="56" customFormat="1" ht="15.75" customHeight="1" x14ac:dyDescent="0.35"/>
    <row r="737" s="56" customFormat="1" ht="15.75" customHeight="1" x14ac:dyDescent="0.35"/>
    <row r="738" s="56" customFormat="1" ht="15.75" customHeight="1" x14ac:dyDescent="0.35"/>
    <row r="739" s="56" customFormat="1" ht="15.75" customHeight="1" x14ac:dyDescent="0.35"/>
    <row r="740" s="56" customFormat="1" ht="15.75" customHeight="1" x14ac:dyDescent="0.35"/>
    <row r="741" s="56" customFormat="1" ht="15.75" customHeight="1" x14ac:dyDescent="0.35"/>
    <row r="742" s="56" customFormat="1" ht="15.75" customHeight="1" x14ac:dyDescent="0.35"/>
    <row r="743" s="56" customFormat="1" ht="15.75" customHeight="1" x14ac:dyDescent="0.35"/>
    <row r="744" s="56" customFormat="1" ht="15.75" customHeight="1" x14ac:dyDescent="0.35"/>
    <row r="745" s="56" customFormat="1" ht="15.75" customHeight="1" x14ac:dyDescent="0.35"/>
    <row r="746" s="56" customFormat="1" ht="15.75" customHeight="1" x14ac:dyDescent="0.35"/>
    <row r="747" s="56" customFormat="1" ht="15.75" customHeight="1" x14ac:dyDescent="0.35"/>
    <row r="748" s="56" customFormat="1" ht="15.75" customHeight="1" x14ac:dyDescent="0.35"/>
    <row r="749" s="56" customFormat="1" ht="15.75" customHeight="1" x14ac:dyDescent="0.35"/>
    <row r="750" s="56" customFormat="1" ht="15.75" customHeight="1" x14ac:dyDescent="0.35"/>
    <row r="751" s="56" customFormat="1" ht="15.75" customHeight="1" x14ac:dyDescent="0.35"/>
    <row r="752" s="56" customFormat="1" ht="15.75" customHeight="1" x14ac:dyDescent="0.35"/>
    <row r="753" s="56" customFormat="1" ht="15.75" customHeight="1" x14ac:dyDescent="0.35"/>
    <row r="754" s="56" customFormat="1" ht="15.75" customHeight="1" x14ac:dyDescent="0.35"/>
    <row r="755" s="56" customFormat="1" ht="15.75" customHeight="1" x14ac:dyDescent="0.35"/>
    <row r="756" s="56" customFormat="1" ht="15.75" customHeight="1" x14ac:dyDescent="0.35"/>
    <row r="757" s="56" customFormat="1" ht="15.75" customHeight="1" x14ac:dyDescent="0.35"/>
    <row r="758" s="56" customFormat="1" ht="15.75" customHeight="1" x14ac:dyDescent="0.35"/>
    <row r="759" s="56" customFormat="1" ht="15.75" customHeight="1" x14ac:dyDescent="0.35"/>
    <row r="760" s="56" customFormat="1" ht="15.75" customHeight="1" x14ac:dyDescent="0.35"/>
    <row r="761" s="56" customFormat="1" ht="15.75" customHeight="1" x14ac:dyDescent="0.35"/>
    <row r="762" s="56" customFormat="1" ht="15.75" customHeight="1" x14ac:dyDescent="0.35"/>
    <row r="763" s="56" customFormat="1" ht="15.75" customHeight="1" x14ac:dyDescent="0.35"/>
    <row r="764" s="56" customFormat="1" ht="15.75" customHeight="1" x14ac:dyDescent="0.35"/>
    <row r="765" s="56" customFormat="1" ht="15.75" customHeight="1" x14ac:dyDescent="0.35"/>
    <row r="766" s="56" customFormat="1" ht="15.75" customHeight="1" x14ac:dyDescent="0.35"/>
    <row r="767" s="56" customFormat="1" ht="15.75" customHeight="1" x14ac:dyDescent="0.35"/>
    <row r="768" s="56" customFormat="1" ht="15.75" customHeight="1" x14ac:dyDescent="0.35"/>
    <row r="769" s="56" customFormat="1" ht="15.75" customHeight="1" x14ac:dyDescent="0.35"/>
    <row r="770" s="56" customFormat="1" ht="15.75" customHeight="1" x14ac:dyDescent="0.35"/>
    <row r="771" s="56" customFormat="1" ht="15.75" customHeight="1" x14ac:dyDescent="0.35"/>
    <row r="772" s="56" customFormat="1" ht="15.75" customHeight="1" x14ac:dyDescent="0.35"/>
    <row r="773" s="56" customFormat="1" ht="15.75" customHeight="1" x14ac:dyDescent="0.35"/>
    <row r="774" s="56" customFormat="1" ht="15.75" customHeight="1" x14ac:dyDescent="0.35"/>
    <row r="775" s="56" customFormat="1" ht="15.75" customHeight="1" x14ac:dyDescent="0.35"/>
    <row r="776" s="56" customFormat="1" ht="15.75" customHeight="1" x14ac:dyDescent="0.35"/>
    <row r="777" s="56" customFormat="1" ht="15.75" customHeight="1" x14ac:dyDescent="0.35"/>
    <row r="778" s="56" customFormat="1" ht="15.75" customHeight="1" x14ac:dyDescent="0.35"/>
    <row r="779" s="56" customFormat="1" ht="15.75" customHeight="1" x14ac:dyDescent="0.35"/>
    <row r="780" s="56" customFormat="1" ht="15.75" customHeight="1" x14ac:dyDescent="0.35"/>
    <row r="781" s="56" customFormat="1" ht="15.75" customHeight="1" x14ac:dyDescent="0.35"/>
    <row r="782" s="56" customFormat="1" ht="15.75" customHeight="1" x14ac:dyDescent="0.35"/>
    <row r="783" s="56" customFormat="1" ht="15.75" customHeight="1" x14ac:dyDescent="0.35"/>
    <row r="784" s="56" customFormat="1" ht="15.75" customHeight="1" x14ac:dyDescent="0.35"/>
    <row r="785" s="56" customFormat="1" ht="15.75" customHeight="1" x14ac:dyDescent="0.35"/>
    <row r="786" s="56" customFormat="1" ht="15.75" customHeight="1" x14ac:dyDescent="0.35"/>
    <row r="787" s="56" customFormat="1" ht="15.75" customHeight="1" x14ac:dyDescent="0.35"/>
    <row r="788" s="56" customFormat="1" ht="15.75" customHeight="1" x14ac:dyDescent="0.35"/>
    <row r="789" s="56" customFormat="1" ht="15.75" customHeight="1" x14ac:dyDescent="0.35"/>
    <row r="790" s="56" customFormat="1" ht="15.75" customHeight="1" x14ac:dyDescent="0.35"/>
    <row r="791" s="56" customFormat="1" ht="15.75" customHeight="1" x14ac:dyDescent="0.35"/>
    <row r="792" s="56" customFormat="1" ht="15.75" customHeight="1" x14ac:dyDescent="0.35"/>
    <row r="793" s="56" customFormat="1" ht="15.75" customHeight="1" x14ac:dyDescent="0.35"/>
    <row r="794" s="56" customFormat="1" ht="15.75" customHeight="1" x14ac:dyDescent="0.35"/>
    <row r="795" s="56" customFormat="1" ht="15.75" customHeight="1" x14ac:dyDescent="0.35"/>
    <row r="796" s="56" customFormat="1" ht="15.75" customHeight="1" x14ac:dyDescent="0.35"/>
    <row r="797" s="56" customFormat="1" ht="15.75" customHeight="1" x14ac:dyDescent="0.35"/>
    <row r="798" s="56" customFormat="1" ht="15.75" customHeight="1" x14ac:dyDescent="0.35"/>
    <row r="799" s="56" customFormat="1" ht="15.75" customHeight="1" x14ac:dyDescent="0.35"/>
    <row r="800" s="56" customFormat="1" ht="15.75" customHeight="1" x14ac:dyDescent="0.35"/>
    <row r="801" s="56" customFormat="1" ht="15.75" customHeight="1" x14ac:dyDescent="0.35"/>
    <row r="802" s="56" customFormat="1" ht="15.75" customHeight="1" x14ac:dyDescent="0.35"/>
    <row r="803" s="56" customFormat="1" ht="15.75" customHeight="1" x14ac:dyDescent="0.35"/>
    <row r="804" s="56" customFormat="1" ht="15.75" customHeight="1" x14ac:dyDescent="0.35"/>
    <row r="805" s="56" customFormat="1" ht="15.75" customHeight="1" x14ac:dyDescent="0.35"/>
    <row r="806" s="56" customFormat="1" ht="15.75" customHeight="1" x14ac:dyDescent="0.35"/>
    <row r="807" s="56" customFormat="1" ht="15.75" customHeight="1" x14ac:dyDescent="0.35"/>
    <row r="808" s="56" customFormat="1" ht="15.75" customHeight="1" x14ac:dyDescent="0.35"/>
    <row r="809" s="56" customFormat="1" ht="15.75" customHeight="1" x14ac:dyDescent="0.35"/>
    <row r="810" s="56" customFormat="1" ht="15.75" customHeight="1" x14ac:dyDescent="0.35"/>
    <row r="811" s="56" customFormat="1" ht="15.75" customHeight="1" x14ac:dyDescent="0.35"/>
    <row r="812" s="56" customFormat="1" ht="15.75" customHeight="1" x14ac:dyDescent="0.35"/>
    <row r="813" s="56" customFormat="1" ht="15.75" customHeight="1" x14ac:dyDescent="0.35"/>
    <row r="814" s="56" customFormat="1" ht="15.75" customHeight="1" x14ac:dyDescent="0.35"/>
    <row r="815" s="56" customFormat="1" ht="15.75" customHeight="1" x14ac:dyDescent="0.35"/>
    <row r="816" s="56" customFormat="1" ht="15.75" customHeight="1" x14ac:dyDescent="0.35"/>
    <row r="817" s="56" customFormat="1" ht="15.75" customHeight="1" x14ac:dyDescent="0.35"/>
    <row r="818" s="56" customFormat="1" ht="15.75" customHeight="1" x14ac:dyDescent="0.35"/>
    <row r="819" s="56" customFormat="1" ht="15.75" customHeight="1" x14ac:dyDescent="0.35"/>
    <row r="820" s="56" customFormat="1" ht="15.75" customHeight="1" x14ac:dyDescent="0.35"/>
    <row r="821" s="56" customFormat="1" ht="15.75" customHeight="1" x14ac:dyDescent="0.35"/>
    <row r="822" s="56" customFormat="1" ht="15.75" customHeight="1" x14ac:dyDescent="0.35"/>
    <row r="823" s="56" customFormat="1" ht="15.75" customHeight="1" x14ac:dyDescent="0.35"/>
    <row r="824" s="56" customFormat="1" ht="15.75" customHeight="1" x14ac:dyDescent="0.35"/>
    <row r="825" s="56" customFormat="1" ht="15.75" customHeight="1" x14ac:dyDescent="0.35"/>
    <row r="826" s="56" customFormat="1" ht="15.75" customHeight="1" x14ac:dyDescent="0.35"/>
    <row r="827" s="56" customFormat="1" ht="15.75" customHeight="1" x14ac:dyDescent="0.35"/>
    <row r="828" s="56" customFormat="1" ht="15.75" customHeight="1" x14ac:dyDescent="0.35"/>
    <row r="829" s="56" customFormat="1" ht="15.75" customHeight="1" x14ac:dyDescent="0.35"/>
    <row r="830" s="56" customFormat="1" ht="15.75" customHeight="1" x14ac:dyDescent="0.35"/>
    <row r="831" s="56" customFormat="1" ht="15.75" customHeight="1" x14ac:dyDescent="0.35"/>
    <row r="832" s="56" customFormat="1" ht="15.75" customHeight="1" x14ac:dyDescent="0.35"/>
    <row r="833" s="56" customFormat="1" ht="15.75" customHeight="1" x14ac:dyDescent="0.35"/>
    <row r="834" s="56" customFormat="1" ht="15.75" customHeight="1" x14ac:dyDescent="0.35"/>
    <row r="835" s="56" customFormat="1" ht="15.75" customHeight="1" x14ac:dyDescent="0.35"/>
    <row r="836" s="56" customFormat="1" ht="15.75" customHeight="1" x14ac:dyDescent="0.35"/>
    <row r="837" s="56" customFormat="1" ht="15.75" customHeight="1" x14ac:dyDescent="0.35"/>
    <row r="838" s="56" customFormat="1" ht="15.75" customHeight="1" x14ac:dyDescent="0.35"/>
    <row r="839" s="56" customFormat="1" ht="15.75" customHeight="1" x14ac:dyDescent="0.35"/>
    <row r="840" s="56" customFormat="1" ht="15.75" customHeight="1" x14ac:dyDescent="0.35"/>
    <row r="841" s="56" customFormat="1" ht="15.75" customHeight="1" x14ac:dyDescent="0.35"/>
    <row r="842" s="56" customFormat="1" ht="15.75" customHeight="1" x14ac:dyDescent="0.35"/>
    <row r="843" s="56" customFormat="1" ht="15.75" customHeight="1" x14ac:dyDescent="0.35"/>
    <row r="844" s="56" customFormat="1" ht="15.75" customHeight="1" x14ac:dyDescent="0.35"/>
    <row r="845" s="56" customFormat="1" ht="15.75" customHeight="1" x14ac:dyDescent="0.35"/>
    <row r="846" s="56" customFormat="1" ht="15.75" customHeight="1" x14ac:dyDescent="0.35"/>
    <row r="847" s="56" customFormat="1" ht="15.75" customHeight="1" x14ac:dyDescent="0.35"/>
    <row r="848" s="56" customFormat="1" ht="15.75" customHeight="1" x14ac:dyDescent="0.35"/>
    <row r="849" s="56" customFormat="1" ht="15.75" customHeight="1" x14ac:dyDescent="0.35"/>
    <row r="850" s="56" customFormat="1" ht="15.75" customHeight="1" x14ac:dyDescent="0.35"/>
    <row r="851" s="56" customFormat="1" ht="15.75" customHeight="1" x14ac:dyDescent="0.35"/>
    <row r="852" s="56" customFormat="1" ht="15.75" customHeight="1" x14ac:dyDescent="0.35"/>
    <row r="853" s="56" customFormat="1" ht="15.75" customHeight="1" x14ac:dyDescent="0.35"/>
    <row r="854" s="56" customFormat="1" ht="15.75" customHeight="1" x14ac:dyDescent="0.35"/>
    <row r="855" s="56" customFormat="1" ht="15.75" customHeight="1" x14ac:dyDescent="0.35"/>
    <row r="856" s="56" customFormat="1" ht="15.75" customHeight="1" x14ac:dyDescent="0.35"/>
    <row r="857" s="56" customFormat="1" ht="15.75" customHeight="1" x14ac:dyDescent="0.35"/>
    <row r="858" s="56" customFormat="1" ht="15.75" customHeight="1" x14ac:dyDescent="0.35"/>
    <row r="859" s="56" customFormat="1" ht="15.75" customHeight="1" x14ac:dyDescent="0.35"/>
    <row r="860" s="56" customFormat="1" ht="15.75" customHeight="1" x14ac:dyDescent="0.35"/>
    <row r="861" s="56" customFormat="1" ht="15.75" customHeight="1" x14ac:dyDescent="0.35"/>
    <row r="862" s="56" customFormat="1" ht="15.75" customHeight="1" x14ac:dyDescent="0.35"/>
    <row r="863" s="56" customFormat="1" ht="15.75" customHeight="1" x14ac:dyDescent="0.35"/>
    <row r="864" s="56" customFormat="1" ht="15.75" customHeight="1" x14ac:dyDescent="0.35"/>
    <row r="865" s="56" customFormat="1" ht="15.75" customHeight="1" x14ac:dyDescent="0.35"/>
    <row r="866" s="56" customFormat="1" ht="15.75" customHeight="1" x14ac:dyDescent="0.35"/>
    <row r="867" s="56" customFormat="1" ht="15.75" customHeight="1" x14ac:dyDescent="0.35"/>
    <row r="868" s="56" customFormat="1" ht="15.75" customHeight="1" x14ac:dyDescent="0.35"/>
    <row r="869" s="56" customFormat="1" ht="15.75" customHeight="1" x14ac:dyDescent="0.35"/>
    <row r="870" s="56" customFormat="1" ht="15.75" customHeight="1" x14ac:dyDescent="0.35"/>
    <row r="871" s="56" customFormat="1" ht="15.75" customHeight="1" x14ac:dyDescent="0.35"/>
    <row r="872" s="56" customFormat="1" ht="15.75" customHeight="1" x14ac:dyDescent="0.35"/>
    <row r="873" s="56" customFormat="1" ht="15.75" customHeight="1" x14ac:dyDescent="0.35"/>
    <row r="874" s="56" customFormat="1" ht="15.75" customHeight="1" x14ac:dyDescent="0.35"/>
    <row r="875" s="56" customFormat="1" ht="15.75" customHeight="1" x14ac:dyDescent="0.35"/>
    <row r="876" s="56" customFormat="1" ht="15.75" customHeight="1" x14ac:dyDescent="0.35"/>
    <row r="877" s="56" customFormat="1" ht="15.75" customHeight="1" x14ac:dyDescent="0.35"/>
    <row r="878" s="56" customFormat="1" ht="15.75" customHeight="1" x14ac:dyDescent="0.35"/>
    <row r="879" s="56" customFormat="1" ht="15.75" customHeight="1" x14ac:dyDescent="0.35"/>
    <row r="880" s="56" customFormat="1" ht="15.75" customHeight="1" x14ac:dyDescent="0.35"/>
    <row r="881" s="56" customFormat="1" ht="15.75" customHeight="1" x14ac:dyDescent="0.35"/>
    <row r="882" s="56" customFormat="1" ht="15.75" customHeight="1" x14ac:dyDescent="0.35"/>
    <row r="883" s="56" customFormat="1" ht="15.75" customHeight="1" x14ac:dyDescent="0.35"/>
    <row r="884" s="56" customFormat="1" ht="15.75" customHeight="1" x14ac:dyDescent="0.35"/>
    <row r="885" s="56" customFormat="1" ht="15.75" customHeight="1" x14ac:dyDescent="0.35"/>
    <row r="886" s="56" customFormat="1" ht="15.75" customHeight="1" x14ac:dyDescent="0.35"/>
    <row r="887" s="56" customFormat="1" ht="15.75" customHeight="1" x14ac:dyDescent="0.35"/>
    <row r="888" s="56" customFormat="1" ht="15.75" customHeight="1" x14ac:dyDescent="0.35"/>
    <row r="889" s="56" customFormat="1" ht="15.75" customHeight="1" x14ac:dyDescent="0.35"/>
    <row r="890" s="56" customFormat="1" ht="15.75" customHeight="1" x14ac:dyDescent="0.35"/>
    <row r="891" s="56" customFormat="1" ht="15.75" customHeight="1" x14ac:dyDescent="0.35"/>
    <row r="892" s="56" customFormat="1" ht="15.75" customHeight="1" x14ac:dyDescent="0.35"/>
    <row r="893" s="56" customFormat="1" ht="15.75" customHeight="1" x14ac:dyDescent="0.35"/>
    <row r="894" s="56" customFormat="1" ht="15.75" customHeight="1" x14ac:dyDescent="0.35"/>
    <row r="895" s="56" customFormat="1" ht="15.75" customHeight="1" x14ac:dyDescent="0.35"/>
    <row r="896" s="56" customFormat="1" ht="15.75" customHeight="1" x14ac:dyDescent="0.35"/>
    <row r="897" s="56" customFormat="1" ht="15.75" customHeight="1" x14ac:dyDescent="0.35"/>
    <row r="898" s="56" customFormat="1" ht="15.75" customHeight="1" x14ac:dyDescent="0.35"/>
    <row r="899" s="56" customFormat="1" ht="15.75" customHeight="1" x14ac:dyDescent="0.35"/>
    <row r="900" s="56" customFormat="1" ht="15.75" customHeight="1" x14ac:dyDescent="0.35"/>
    <row r="901" s="56" customFormat="1" ht="15.75" customHeight="1" x14ac:dyDescent="0.35"/>
    <row r="902" s="56" customFormat="1" ht="15.75" customHeight="1" x14ac:dyDescent="0.35"/>
    <row r="903" s="56" customFormat="1" ht="15.75" customHeight="1" x14ac:dyDescent="0.35"/>
    <row r="904" s="56" customFormat="1" ht="15.75" customHeight="1" x14ac:dyDescent="0.35"/>
    <row r="905" s="56" customFormat="1" ht="15.75" customHeight="1" x14ac:dyDescent="0.35"/>
    <row r="906" s="56" customFormat="1" ht="15.75" customHeight="1" x14ac:dyDescent="0.35"/>
    <row r="907" s="56" customFormat="1" ht="15.75" customHeight="1" x14ac:dyDescent="0.35"/>
    <row r="908" s="56" customFormat="1" ht="15.75" customHeight="1" x14ac:dyDescent="0.35"/>
    <row r="909" s="56" customFormat="1" ht="15.75" customHeight="1" x14ac:dyDescent="0.35"/>
    <row r="910" s="56" customFormat="1" ht="15.75" customHeight="1" x14ac:dyDescent="0.35"/>
    <row r="911" s="56" customFormat="1" ht="15.75" customHeight="1" x14ac:dyDescent="0.35"/>
    <row r="912" s="56" customFormat="1" ht="15.75" customHeight="1" x14ac:dyDescent="0.35"/>
    <row r="913" s="56" customFormat="1" ht="15.75" customHeight="1" x14ac:dyDescent="0.35"/>
    <row r="914" s="56" customFormat="1" ht="15.75" customHeight="1" x14ac:dyDescent="0.35"/>
    <row r="915" s="56" customFormat="1" ht="15.75" customHeight="1" x14ac:dyDescent="0.35"/>
    <row r="916" s="56" customFormat="1" ht="15.75" customHeight="1" x14ac:dyDescent="0.35"/>
    <row r="917" s="56" customFormat="1" ht="15.75" customHeight="1" x14ac:dyDescent="0.35"/>
    <row r="918" s="56" customFormat="1" ht="15.75" customHeight="1" x14ac:dyDescent="0.35"/>
    <row r="919" s="56" customFormat="1" ht="15.75" customHeight="1" x14ac:dyDescent="0.35"/>
    <row r="920" s="56" customFormat="1" ht="15.75" customHeight="1" x14ac:dyDescent="0.35"/>
    <row r="921" s="56" customFormat="1" ht="15.75" customHeight="1" x14ac:dyDescent="0.35"/>
    <row r="922" s="56" customFormat="1" ht="15.75" customHeight="1" x14ac:dyDescent="0.35"/>
    <row r="923" s="56" customFormat="1" ht="15.75" customHeight="1" x14ac:dyDescent="0.35"/>
    <row r="924" s="56" customFormat="1" ht="15.75" customHeight="1" x14ac:dyDescent="0.35"/>
    <row r="925" s="56" customFormat="1" ht="15.75" customHeight="1" x14ac:dyDescent="0.35"/>
    <row r="926" s="56" customFormat="1" ht="15.75" customHeight="1" x14ac:dyDescent="0.35"/>
    <row r="927" s="56" customFormat="1" ht="15.75" customHeight="1" x14ac:dyDescent="0.35"/>
    <row r="928" s="56" customFormat="1" ht="15.75" customHeight="1" x14ac:dyDescent="0.35"/>
    <row r="929" s="56" customFormat="1" ht="15.75" customHeight="1" x14ac:dyDescent="0.35"/>
    <row r="930" s="56" customFormat="1" ht="15.75" customHeight="1" x14ac:dyDescent="0.35"/>
    <row r="931" s="56" customFormat="1" ht="15.75" customHeight="1" x14ac:dyDescent="0.35"/>
    <row r="932" s="56" customFormat="1" ht="15.75" customHeight="1" x14ac:dyDescent="0.35"/>
    <row r="933" s="56" customFormat="1" ht="15.75" customHeight="1" x14ac:dyDescent="0.35"/>
    <row r="934" s="56" customFormat="1" ht="15.75" customHeight="1" x14ac:dyDescent="0.35"/>
    <row r="935" s="56" customFormat="1" ht="15.75" customHeight="1" x14ac:dyDescent="0.35"/>
    <row r="936" s="56" customFormat="1" ht="15.75" customHeight="1" x14ac:dyDescent="0.35"/>
    <row r="937" s="56" customFormat="1" ht="15.75" customHeight="1" x14ac:dyDescent="0.35"/>
    <row r="938" s="56" customFormat="1" ht="15.75" customHeight="1" x14ac:dyDescent="0.35"/>
    <row r="939" s="56" customFormat="1" ht="15.75" customHeight="1" x14ac:dyDescent="0.35"/>
    <row r="940" s="56" customFormat="1" ht="15.75" customHeight="1" x14ac:dyDescent="0.35"/>
    <row r="941" s="56" customFormat="1" ht="15.75" customHeight="1" x14ac:dyDescent="0.35"/>
    <row r="942" s="56" customFormat="1" ht="15.75" customHeight="1" x14ac:dyDescent="0.35"/>
    <row r="943" s="56" customFormat="1" ht="15.75" customHeight="1" x14ac:dyDescent="0.35"/>
    <row r="944" s="56" customFormat="1" ht="15.75" customHeight="1" x14ac:dyDescent="0.35"/>
    <row r="945" s="56" customFormat="1" ht="15.75" customHeight="1" x14ac:dyDescent="0.35"/>
    <row r="946" s="56" customFormat="1" ht="15.75" customHeight="1" x14ac:dyDescent="0.35"/>
    <row r="947" s="56" customFormat="1" ht="15.75" customHeight="1" x14ac:dyDescent="0.35"/>
    <row r="948" s="56" customFormat="1" ht="15.75" customHeight="1" x14ac:dyDescent="0.35"/>
    <row r="949" s="56" customFormat="1" ht="15.75" customHeight="1" x14ac:dyDescent="0.35"/>
    <row r="950" s="56" customFormat="1" ht="15.75" customHeight="1" x14ac:dyDescent="0.35"/>
    <row r="951" s="56" customFormat="1" ht="15.75" customHeight="1" x14ac:dyDescent="0.35"/>
    <row r="952" s="56" customFormat="1" ht="15.75" customHeight="1" x14ac:dyDescent="0.35"/>
    <row r="953" s="56" customFormat="1" ht="15.75" customHeight="1" x14ac:dyDescent="0.35"/>
    <row r="954" s="56" customFormat="1" ht="15.75" customHeight="1" x14ac:dyDescent="0.35"/>
    <row r="955" s="56" customFormat="1" ht="15.75" customHeight="1" x14ac:dyDescent="0.35"/>
    <row r="956" s="56" customFormat="1" ht="15.75" customHeight="1" x14ac:dyDescent="0.35"/>
    <row r="957" s="56" customFormat="1" ht="15.75" customHeight="1" x14ac:dyDescent="0.35"/>
    <row r="958" s="56" customFormat="1" ht="15.75" customHeight="1" x14ac:dyDescent="0.35"/>
    <row r="959" s="56" customFormat="1" ht="15.75" customHeight="1" x14ac:dyDescent="0.35"/>
    <row r="960" s="56" customFormat="1" ht="15.75" customHeight="1" x14ac:dyDescent="0.35"/>
    <row r="961" s="56" customFormat="1" ht="15.75" customHeight="1" x14ac:dyDescent="0.35"/>
    <row r="962" s="56" customFormat="1" ht="15.75" customHeight="1" x14ac:dyDescent="0.35"/>
    <row r="963" s="56" customFormat="1" ht="15.75" customHeight="1" x14ac:dyDescent="0.35"/>
    <row r="964" s="56" customFormat="1" ht="15.75" customHeight="1" x14ac:dyDescent="0.35"/>
    <row r="965" s="56" customFormat="1" ht="15.75" customHeight="1" x14ac:dyDescent="0.35"/>
    <row r="966" s="56" customFormat="1" ht="15.75" customHeight="1" x14ac:dyDescent="0.35"/>
    <row r="967" s="56" customFormat="1" ht="15.75" customHeight="1" x14ac:dyDescent="0.35"/>
    <row r="968" s="56" customFormat="1" ht="15.75" customHeight="1" x14ac:dyDescent="0.35"/>
    <row r="969" s="56" customFormat="1" ht="15.75" customHeight="1" x14ac:dyDescent="0.35"/>
    <row r="970" s="56" customFormat="1" ht="15.75" customHeight="1" x14ac:dyDescent="0.35"/>
    <row r="971" s="56" customFormat="1" ht="15.75" customHeight="1" x14ac:dyDescent="0.35"/>
    <row r="972" s="56" customFormat="1" ht="15.75" customHeight="1" x14ac:dyDescent="0.35"/>
    <row r="973" s="56" customFormat="1" ht="15.75" customHeight="1" x14ac:dyDescent="0.35"/>
    <row r="974" s="56" customFormat="1" ht="15.75" customHeight="1" x14ac:dyDescent="0.35"/>
    <row r="975" s="56" customFormat="1" ht="15.75" customHeight="1" x14ac:dyDescent="0.35"/>
    <row r="976" s="56" customFormat="1" ht="15.75" customHeight="1" x14ac:dyDescent="0.35"/>
    <row r="977" s="56" customFormat="1" ht="15.75" customHeight="1" x14ac:dyDescent="0.35"/>
    <row r="978" s="56" customFormat="1" ht="15.75" customHeight="1" x14ac:dyDescent="0.35"/>
    <row r="979" s="56" customFormat="1" ht="15.75" customHeight="1" x14ac:dyDescent="0.35"/>
    <row r="980" s="56" customFormat="1" ht="15.75" customHeight="1" x14ac:dyDescent="0.35"/>
    <row r="981" s="56" customFormat="1" ht="15.75" customHeight="1" x14ac:dyDescent="0.35"/>
    <row r="982" s="56" customFormat="1" ht="15.75" customHeight="1" x14ac:dyDescent="0.35"/>
    <row r="983" s="56" customFormat="1" ht="15.75" customHeight="1" x14ac:dyDescent="0.35"/>
    <row r="984" s="56" customFormat="1" ht="15.75" customHeight="1" x14ac:dyDescent="0.35"/>
    <row r="985" s="56" customFormat="1" ht="15.75" customHeight="1" x14ac:dyDescent="0.35"/>
    <row r="986" s="56" customFormat="1" ht="15.75" customHeight="1" x14ac:dyDescent="0.35"/>
    <row r="987" s="56" customFormat="1" ht="15.75" customHeight="1" x14ac:dyDescent="0.35"/>
    <row r="988" s="56" customFormat="1" ht="15.75" customHeight="1" x14ac:dyDescent="0.35"/>
    <row r="989" s="56" customFormat="1" ht="15.75" customHeight="1" x14ac:dyDescent="0.35"/>
    <row r="990" s="56" customFormat="1" ht="15.75" customHeight="1" x14ac:dyDescent="0.35"/>
    <row r="991" s="56" customFormat="1" ht="15.75" customHeight="1" x14ac:dyDescent="0.35"/>
    <row r="992" s="56" customFormat="1" ht="15.75" customHeight="1" x14ac:dyDescent="0.35"/>
    <row r="993" s="56" customFormat="1" ht="15.75" customHeight="1" x14ac:dyDescent="0.35"/>
    <row r="994" s="56" customFormat="1" ht="15.75" customHeight="1" x14ac:dyDescent="0.35"/>
    <row r="995" s="56" customFormat="1" ht="15.75" customHeight="1" x14ac:dyDescent="0.35"/>
    <row r="996" s="56" customFormat="1" ht="15.75" customHeight="1" x14ac:dyDescent="0.35"/>
    <row r="997" s="56" customFormat="1" ht="15.75" customHeight="1" x14ac:dyDescent="0.35"/>
    <row r="998" s="56" customFormat="1" ht="15.75" customHeight="1" x14ac:dyDescent="0.35"/>
    <row r="999" s="56" customFormat="1" ht="15.75" customHeight="1" x14ac:dyDescent="0.35"/>
    <row r="1000" s="56" customFormat="1" ht="15.75" customHeight="1" x14ac:dyDescent="0.35"/>
  </sheetData>
  <hyperlinks>
    <hyperlink ref="N1" r:id="rId1" xr:uid="{F8EB29C5-B2AE-46CB-8204-58EC39506C40}"/>
  </hyperlinks>
  <pageMargins left="0.7" right="0.7" top="0.75" bottom="0.75" header="0" footer="0"/>
  <pageSetup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012026</vt:lpstr>
      <vt:lpstr>Escalas</vt:lpstr>
      <vt:lpstr>Tablas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Silvina Fumilla</dc:creator>
  <cp:lastModifiedBy>Silvina Fumilla</cp:lastModifiedBy>
  <dcterms:created xsi:type="dcterms:W3CDTF">2015-06-05T18:19:34Z</dcterms:created>
  <dcterms:modified xsi:type="dcterms:W3CDTF">2026-03-24T21:06:39Z</dcterms:modified>
</cp:coreProperties>
</file>